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g\OneDrive\Desktop\excel-work\"/>
    </mc:Choice>
  </mc:AlternateContent>
  <bookViews>
    <workbookView xWindow="-110" yWindow="-110" windowWidth="19420" windowHeight="10420"/>
  </bookViews>
  <sheets>
    <sheet name="Master_Data" sheetId="4" r:id="rId1"/>
    <sheet name="Questions" sheetId="3" r:id="rId2"/>
  </sheets>
  <calcPr calcId="162913"/>
  <fileRecoveryPr repairLoad="1"/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P2" i="4"/>
  <c r="O2" i="4"/>
  <c r="M2" i="4"/>
  <c r="L2" i="4"/>
  <c r="I13" i="3" a="1"/>
  <c r="I13" i="3" s="1"/>
  <c r="C37" i="3" a="1"/>
  <c r="C37" i="3" s="1"/>
  <c r="I37" i="3"/>
  <c r="F37" i="3"/>
  <c r="J13" i="3" l="1"/>
</calcChain>
</file>

<file path=xl/sharedStrings.xml><?xml version="1.0" encoding="utf-8"?>
<sst xmlns="http://schemas.openxmlformats.org/spreadsheetml/2006/main" count="2163" uniqueCount="388">
  <si>
    <t>Branch</t>
  </si>
  <si>
    <t>City</t>
  </si>
  <si>
    <t>Varun</t>
  </si>
  <si>
    <t>Kiran</t>
  </si>
  <si>
    <t>Tarun</t>
  </si>
  <si>
    <t>Suresh</t>
  </si>
  <si>
    <t>Divya</t>
  </si>
  <si>
    <t>Pooja</t>
  </si>
  <si>
    <t>Arjun</t>
  </si>
  <si>
    <t>Manoj</t>
  </si>
  <si>
    <t>Sneha</t>
  </si>
  <si>
    <t>Rohit</t>
  </si>
  <si>
    <t>Teja</t>
  </si>
  <si>
    <t>Kavya</t>
  </si>
  <si>
    <t>Nisha</t>
  </si>
  <si>
    <t>Savings</t>
  </si>
  <si>
    <t>Current</t>
  </si>
  <si>
    <t>Salary</t>
  </si>
  <si>
    <t>Hyderabad</t>
  </si>
  <si>
    <t>Delhi</t>
  </si>
  <si>
    <t>Bangalore</t>
  </si>
  <si>
    <t>Count how many customers have Savings account.</t>
  </si>
  <si>
    <t>Count how many accounts are Active.</t>
  </si>
  <si>
    <t>Count how many customers belong to Hyderabad branch.</t>
  </si>
  <si>
    <t>Count customers having Loan_Status = "Yes".</t>
  </si>
  <si>
    <t>Count customers with Dormant account and Balance &lt; 5,000.</t>
  </si>
  <si>
    <t>Count accounts having Balance between 1,00,000 and 3,00,000.</t>
  </si>
  <si>
    <t>Find total Balance of all Savings account customers.</t>
  </si>
  <si>
    <t>Sum the Balance for customers with Loan_Status = Yes.</t>
  </si>
  <si>
    <t>Sum Monthly_Salary for Active accounts.</t>
  </si>
  <si>
    <t>Total Balance from customers living in Mumbai.</t>
  </si>
  <si>
    <t>Sum Balance for Current + Active accounts.</t>
  </si>
  <si>
    <t>Sum Balance for Hyderabad branch, Salary &gt; 75,000.</t>
  </si>
  <si>
    <t>Sum Monthly Salary of customers without loans.</t>
  </si>
  <si>
    <t>Total Balance for accounts opened after 2022.</t>
  </si>
  <si>
    <t>Sum Balance for Dormant account holders with Balance &lt; 20,000.</t>
  </si>
  <si>
    <t>Sum Balance for Chennai + Loan holders + Active (use 3 criteria)</t>
  </si>
  <si>
    <t>Salary &gt; 75,000 AND</t>
  </si>
  <si>
    <t>Balance &gt; 1,00,000</t>
  </si>
  <si>
    <r>
      <t xml:space="preserve">Assign </t>
    </r>
    <r>
      <rPr>
        <b/>
        <sz val="11"/>
        <color theme="1"/>
        <rFont val="Calibri"/>
        <family val="2"/>
        <scheme val="minor"/>
      </rPr>
      <t>"Premium"</t>
    </r>
    <r>
      <rPr>
        <sz val="11"/>
        <color theme="1"/>
        <rFont val="Calibri"/>
        <family val="2"/>
        <scheme val="minor"/>
      </rPr>
      <t xml:space="preserve"> if Balance &gt; 3,00,000 else </t>
    </r>
    <r>
      <rPr>
        <b/>
        <sz val="11"/>
        <color theme="1"/>
        <rFont val="Calibri"/>
        <family val="2"/>
        <scheme val="minor"/>
      </rPr>
      <t>"Normal"</t>
    </r>
    <r>
      <rPr>
        <sz val="11"/>
        <color theme="1"/>
        <rFont val="Calibri"/>
        <family val="2"/>
        <scheme val="minor"/>
      </rPr>
      <t>.</t>
    </r>
  </si>
  <si>
    <r>
      <t xml:space="preserve">Show </t>
    </r>
    <r>
      <rPr>
        <b/>
        <sz val="11"/>
        <color theme="1"/>
        <rFont val="Calibri"/>
        <family val="2"/>
        <scheme val="minor"/>
      </rPr>
      <t>"Salary Eligible"</t>
    </r>
    <r>
      <rPr>
        <sz val="11"/>
        <color theme="1"/>
        <rFont val="Calibri"/>
        <family val="2"/>
        <scheme val="minor"/>
      </rPr>
      <t xml:space="preserve"> if Monthly Salary &gt; 50,000 else </t>
    </r>
    <r>
      <rPr>
        <b/>
        <sz val="11"/>
        <color theme="1"/>
        <rFont val="Calibri"/>
        <family val="2"/>
        <scheme val="minor"/>
      </rPr>
      <t>"Not Eligible"</t>
    </r>
    <r>
      <rPr>
        <sz val="11"/>
        <color theme="1"/>
        <rFont val="Calibri"/>
        <family val="2"/>
        <scheme val="minor"/>
      </rPr>
      <t>.</t>
    </r>
  </si>
  <si>
    <r>
      <t xml:space="preserve">Display </t>
    </r>
    <r>
      <rPr>
        <b/>
        <sz val="11"/>
        <color theme="1"/>
        <rFont val="Calibri"/>
        <family val="2"/>
        <scheme val="minor"/>
      </rPr>
      <t>"Auto Loan Eligible"</t>
    </r>
    <r>
      <rPr>
        <sz val="11"/>
        <color theme="1"/>
        <rFont val="Calibri"/>
        <family val="2"/>
        <scheme val="minor"/>
      </rPr>
      <t xml:space="preserve"> if:</t>
    </r>
  </si>
  <si>
    <t>If Account_Status = "Closed" show "Do not contact", else "Follow up".</t>
  </si>
  <si>
    <t>If Loan_Status = "Yes" show "Loan Customer" else "Non-Loan"</t>
  </si>
  <si>
    <t>Search Customer Name using Customer ID.</t>
  </si>
  <si>
    <t>Return Account Type with ID lookup.</t>
  </si>
  <si>
    <t>Find Customer Balance using ID.</t>
  </si>
  <si>
    <t>Find Branch or City using ID.</t>
  </si>
  <si>
    <t>Return Loan Status using ID.</t>
  </si>
  <si>
    <t>Return Account Status using Customer Name.</t>
  </si>
  <si>
    <t>Retrieve Salary using combination City + Customer Name.</t>
  </si>
  <si>
    <t>Return Branch for highest Balance (use MATCH + MAX).</t>
  </si>
  <si>
    <t>Return Account Type for lowest Salary customer</t>
  </si>
  <si>
    <t>Count customers whose Balance is &gt; 50,000.</t>
  </si>
  <si>
    <t>Count Active + Loan holders.</t>
  </si>
  <si>
    <t>Count customers in Chennai with Salary above 80,000.</t>
  </si>
  <si>
    <t>ID</t>
  </si>
  <si>
    <t>Customer_Name</t>
  </si>
  <si>
    <t>Account_Type</t>
  </si>
  <si>
    <t>Balance</t>
  </si>
  <si>
    <t>Loan_Status</t>
  </si>
  <si>
    <t>Account_Status</t>
  </si>
  <si>
    <t>Open_Date</t>
  </si>
  <si>
    <t>Deepak</t>
  </si>
  <si>
    <t>Kolkata</t>
  </si>
  <si>
    <t>No</t>
  </si>
  <si>
    <t>Dormant</t>
  </si>
  <si>
    <t>2020-09-14</t>
  </si>
  <si>
    <t>Anil</t>
  </si>
  <si>
    <t>Yes</t>
  </si>
  <si>
    <t>2019-04-15</t>
  </si>
  <si>
    <t>Laxmi</t>
  </si>
  <si>
    <t>Mumbai</t>
  </si>
  <si>
    <t>2020-09-12</t>
  </si>
  <si>
    <t>2023-01-29</t>
  </si>
  <si>
    <t>Pune</t>
  </si>
  <si>
    <t>2023-09-14</t>
  </si>
  <si>
    <t>Akhil</t>
  </si>
  <si>
    <t>2023-07-04</t>
  </si>
  <si>
    <t>Closed</t>
  </si>
  <si>
    <t>2022-05-21</t>
  </si>
  <si>
    <t>Active</t>
  </si>
  <si>
    <t>2019-09-25</t>
  </si>
  <si>
    <t>2021-12-12</t>
  </si>
  <si>
    <t>2021-11-05</t>
  </si>
  <si>
    <t>Vijay</t>
  </si>
  <si>
    <t>2019-12-23</t>
  </si>
  <si>
    <t>2022-10-23</t>
  </si>
  <si>
    <t>2022-09-22</t>
  </si>
  <si>
    <t>Chennai</t>
  </si>
  <si>
    <t>2018-02-06</t>
  </si>
  <si>
    <t>2019-09-13</t>
  </si>
  <si>
    <t>Chaitanya</t>
  </si>
  <si>
    <t>2020-06-27</t>
  </si>
  <si>
    <t>Ragini</t>
  </si>
  <si>
    <t>2018-12-04</t>
  </si>
  <si>
    <t>Anusha</t>
  </si>
  <si>
    <t>2018-12-23</t>
  </si>
  <si>
    <t>2018-07-29</t>
  </si>
  <si>
    <t>Rakesh</t>
  </si>
  <si>
    <t>2024-08-28</t>
  </si>
  <si>
    <t>2018-07-22</t>
  </si>
  <si>
    <t>Sandeep</t>
  </si>
  <si>
    <t>2020-04-01</t>
  </si>
  <si>
    <t>2019-07-22</t>
  </si>
  <si>
    <t>Meera</t>
  </si>
  <si>
    <t>2023-08-24</t>
  </si>
  <si>
    <t>2022-12-31</t>
  </si>
  <si>
    <t>Prasanna</t>
  </si>
  <si>
    <t>2021-06-15</t>
  </si>
  <si>
    <t>2021-09-10</t>
  </si>
  <si>
    <t>2018-04-04</t>
  </si>
  <si>
    <t>2024-05-28</t>
  </si>
  <si>
    <t>2021-01-04</t>
  </si>
  <si>
    <t>Harsha</t>
  </si>
  <si>
    <t>2019-11-21</t>
  </si>
  <si>
    <t>2020-07-11</t>
  </si>
  <si>
    <t>2018-01-23</t>
  </si>
  <si>
    <t>2020-03-05</t>
  </si>
  <si>
    <t>2018-02-20</t>
  </si>
  <si>
    <t>2019-03-07</t>
  </si>
  <si>
    <t>2023-07-23</t>
  </si>
  <si>
    <t>2021-09-19</t>
  </si>
  <si>
    <t>2019-06-15</t>
  </si>
  <si>
    <t>2023-12-27</t>
  </si>
  <si>
    <t>2024-07-16</t>
  </si>
  <si>
    <t>2018-06-06</t>
  </si>
  <si>
    <t>2018-05-11</t>
  </si>
  <si>
    <t>Suman</t>
  </si>
  <si>
    <t>2023-08-05</t>
  </si>
  <si>
    <t>2020-09-07</t>
  </si>
  <si>
    <t>2024-01-06</t>
  </si>
  <si>
    <t>2022-07-29</t>
  </si>
  <si>
    <t>2019-09-23</t>
  </si>
  <si>
    <t>2018-02-04</t>
  </si>
  <si>
    <t>2023-10-11</t>
  </si>
  <si>
    <t>2022-10-14</t>
  </si>
  <si>
    <t>2024-06-13</t>
  </si>
  <si>
    <t>2024-09-18</t>
  </si>
  <si>
    <t>2024-07-08</t>
  </si>
  <si>
    <t>2018-07-27</t>
  </si>
  <si>
    <t>Riya</t>
  </si>
  <si>
    <t>2018-03-31</t>
  </si>
  <si>
    <t>2023-03-19</t>
  </si>
  <si>
    <t>2023-08-03</t>
  </si>
  <si>
    <t>2018-10-22</t>
  </si>
  <si>
    <t>2020-08-02</t>
  </si>
  <si>
    <t>2022-05-02</t>
  </si>
  <si>
    <t>2020-01-12</t>
  </si>
  <si>
    <t>2018-10-16</t>
  </si>
  <si>
    <t>2019-08-09</t>
  </si>
  <si>
    <t>Swathi</t>
  </si>
  <si>
    <t>2022-12-05</t>
  </si>
  <si>
    <t>2019-04-03</t>
  </si>
  <si>
    <t>2023-01-13</t>
  </si>
  <si>
    <t>2023-04-22</t>
  </si>
  <si>
    <t>2018-04-28</t>
  </si>
  <si>
    <t>2019-03-15</t>
  </si>
  <si>
    <t>2023-07-07</t>
  </si>
  <si>
    <t>2019-04-29</t>
  </si>
  <si>
    <t>2023-11-02</t>
  </si>
  <si>
    <t>2020-03-15</t>
  </si>
  <si>
    <t>2019-04-01</t>
  </si>
  <si>
    <t>2018-02-15</t>
  </si>
  <si>
    <t>2018-04-15</t>
  </si>
  <si>
    <t>2022-05-06</t>
  </si>
  <si>
    <t>2024-10-29</t>
  </si>
  <si>
    <t>2022-05-24</t>
  </si>
  <si>
    <t>2024-02-19</t>
  </si>
  <si>
    <t>2021-09-21</t>
  </si>
  <si>
    <t>2018-08-20</t>
  </si>
  <si>
    <t>2018-05-12</t>
  </si>
  <si>
    <t>2023-08-29</t>
  </si>
  <si>
    <t>2022-10-11</t>
  </si>
  <si>
    <t>2019-06-19</t>
  </si>
  <si>
    <t>2024-04-14</t>
  </si>
  <si>
    <t>2024-10-11</t>
  </si>
  <si>
    <t>Monika</t>
  </si>
  <si>
    <t>2023-12-12</t>
  </si>
  <si>
    <t>2021-10-31</t>
  </si>
  <si>
    <t>2023-02-15</t>
  </si>
  <si>
    <t>2021-04-22</t>
  </si>
  <si>
    <t>2020-02-21</t>
  </si>
  <si>
    <t>2024-08-21</t>
  </si>
  <si>
    <t>2024-04-17</t>
  </si>
  <si>
    <t>2018-09-27</t>
  </si>
  <si>
    <t>2024-12-22</t>
  </si>
  <si>
    <t>2024-10-21</t>
  </si>
  <si>
    <t>2023-04-14</t>
  </si>
  <si>
    <t>2023-03-27</t>
  </si>
  <si>
    <t>2019-07-09</t>
  </si>
  <si>
    <t>2023-10-23</t>
  </si>
  <si>
    <t>2019-12-21</t>
  </si>
  <si>
    <t>2019-05-07</t>
  </si>
  <si>
    <t>2024-06-26</t>
  </si>
  <si>
    <t>2019-04-09</t>
  </si>
  <si>
    <t>2018-04-12</t>
  </si>
  <si>
    <t>2020-12-13</t>
  </si>
  <si>
    <t>2018-10-27</t>
  </si>
  <si>
    <t>2022-07-21</t>
  </si>
  <si>
    <t>2018-01-03</t>
  </si>
  <si>
    <t>2021-01-09</t>
  </si>
  <si>
    <t>2019-07-08</t>
  </si>
  <si>
    <t>2022-11-25</t>
  </si>
  <si>
    <t>2019-08-21</t>
  </si>
  <si>
    <t>2023-12-21</t>
  </si>
  <si>
    <t>2021-11-11</t>
  </si>
  <si>
    <t>2019-06-26</t>
  </si>
  <si>
    <t>2023-07-29</t>
  </si>
  <si>
    <t>2018-12-15</t>
  </si>
  <si>
    <t>2019-09-18</t>
  </si>
  <si>
    <t>2023-06-14</t>
  </si>
  <si>
    <t>2021-11-15</t>
  </si>
  <si>
    <t>2020-10-19</t>
  </si>
  <si>
    <t>2023-03-02</t>
  </si>
  <si>
    <t>2023-10-12</t>
  </si>
  <si>
    <t>2024-11-09</t>
  </si>
  <si>
    <t>2024-10-12</t>
  </si>
  <si>
    <t>2020-08-29</t>
  </si>
  <si>
    <t>2021-08-18</t>
  </si>
  <si>
    <t>2019-02-11</t>
  </si>
  <si>
    <t>2018-08-25</t>
  </si>
  <si>
    <t>2020-03-07</t>
  </si>
  <si>
    <t>2018-02-24</t>
  </si>
  <si>
    <t>2020-06-07</t>
  </si>
  <si>
    <t>2021-07-22</t>
  </si>
  <si>
    <t>2018-11-20</t>
  </si>
  <si>
    <t>2019-01-19</t>
  </si>
  <si>
    <t>2022-06-21</t>
  </si>
  <si>
    <t>2020-02-25</t>
  </si>
  <si>
    <t>2018-04-22</t>
  </si>
  <si>
    <t>2024-11-27</t>
  </si>
  <si>
    <t>2020-07-03</t>
  </si>
  <si>
    <t>2020-02-16</t>
  </si>
  <si>
    <t>2020-01-10</t>
  </si>
  <si>
    <t>2021-06-21</t>
  </si>
  <si>
    <t>2018-06-13</t>
  </si>
  <si>
    <t>2019-03-14</t>
  </si>
  <si>
    <t>2024-10-28</t>
  </si>
  <si>
    <t>2023-06-24</t>
  </si>
  <si>
    <t>2023-09-18</t>
  </si>
  <si>
    <t>2024-02-10</t>
  </si>
  <si>
    <t>2022-03-05</t>
  </si>
  <si>
    <t>2022-08-08</t>
  </si>
  <si>
    <t>2022-04-09</t>
  </si>
  <si>
    <t>2024-02-07</t>
  </si>
  <si>
    <t>2019-08-25</t>
  </si>
  <si>
    <t>2022-05-04</t>
  </si>
  <si>
    <t>2023-12-22</t>
  </si>
  <si>
    <t>2024-02-04</t>
  </si>
  <si>
    <t>2023-03-11</t>
  </si>
  <si>
    <t>2018-05-28</t>
  </si>
  <si>
    <t>2019-01-18</t>
  </si>
  <si>
    <t>2020-12-10</t>
  </si>
  <si>
    <t>2021-03-07</t>
  </si>
  <si>
    <t>2024-08-31</t>
  </si>
  <si>
    <t>2024-09-10</t>
  </si>
  <si>
    <t>2024-11-12</t>
  </si>
  <si>
    <t>2020-08-04</t>
  </si>
  <si>
    <t>2024-01-16</t>
  </si>
  <si>
    <t>2019-09-16</t>
  </si>
  <si>
    <t>2020-08-21</t>
  </si>
  <si>
    <t>2022-08-22</t>
  </si>
  <si>
    <t>2021-12-17</t>
  </si>
  <si>
    <t>2018-01-17</t>
  </si>
  <si>
    <t>2018-06-19</t>
  </si>
  <si>
    <t>2022-08-02</t>
  </si>
  <si>
    <t>2023-01-20</t>
  </si>
  <si>
    <t>2019-08-15</t>
  </si>
  <si>
    <t>2022-10-09</t>
  </si>
  <si>
    <t>2020-09-13</t>
  </si>
  <si>
    <t>2023-11-20</t>
  </si>
  <si>
    <t>2024-12-01</t>
  </si>
  <si>
    <t>2023-05-28</t>
  </si>
  <si>
    <t>2018-05-24</t>
  </si>
  <si>
    <t>2018-04-14</t>
  </si>
  <si>
    <t>2020-01-15</t>
  </si>
  <si>
    <t>2021-08-03</t>
  </si>
  <si>
    <t>2023-02-28</t>
  </si>
  <si>
    <t>2021-03-01</t>
  </si>
  <si>
    <t>2022-07-04</t>
  </si>
  <si>
    <t>2023-12-18</t>
  </si>
  <si>
    <t>2020-01-29</t>
  </si>
  <si>
    <t>2022-06-12</t>
  </si>
  <si>
    <t>2020-11-06</t>
  </si>
  <si>
    <t>2024-03-26</t>
  </si>
  <si>
    <t>2024-05-08</t>
  </si>
  <si>
    <t>2018-12-08</t>
  </si>
  <si>
    <t>2020-03-31</t>
  </si>
  <si>
    <t>2018-05-03</t>
  </si>
  <si>
    <t>2018-12-17</t>
  </si>
  <si>
    <t>2018-07-31</t>
  </si>
  <si>
    <t>2021-05-22</t>
  </si>
  <si>
    <t>2023-11-21</t>
  </si>
  <si>
    <t>2021-01-28</t>
  </si>
  <si>
    <t>2023-03-13</t>
  </si>
  <si>
    <t>2022-06-09</t>
  </si>
  <si>
    <t>2020-08-17</t>
  </si>
  <si>
    <t>2020-04-14</t>
  </si>
  <si>
    <t>2023-04-05</t>
  </si>
  <si>
    <t>2019-11-11</t>
  </si>
  <si>
    <t>2023-11-27</t>
  </si>
  <si>
    <t>2021-09-28</t>
  </si>
  <si>
    <t>2020-01-04</t>
  </si>
  <si>
    <t>2018-05-21</t>
  </si>
  <si>
    <t>2019-06-02</t>
  </si>
  <si>
    <t>2021-01-12</t>
  </si>
  <si>
    <t>2020-12-05</t>
  </si>
  <si>
    <t>2021-04-14</t>
  </si>
  <si>
    <t>2022-05-15</t>
  </si>
  <si>
    <t>2023-03-20</t>
  </si>
  <si>
    <t>2019-08-27</t>
  </si>
  <si>
    <t>2021-04-01</t>
  </si>
  <si>
    <t>2018-04-02</t>
  </si>
  <si>
    <t>2022-12-10</t>
  </si>
  <si>
    <t>2019-06-06</t>
  </si>
  <si>
    <t>2018-09-04</t>
  </si>
  <si>
    <t>2023-10-28</t>
  </si>
  <si>
    <t>2019-01-28</t>
  </si>
  <si>
    <t>2023-05-17</t>
  </si>
  <si>
    <t>2020-10-05</t>
  </si>
  <si>
    <t>2019-10-12</t>
  </si>
  <si>
    <t>2022-09-08</t>
  </si>
  <si>
    <t>2024-09-26</t>
  </si>
  <si>
    <t>2024-08-02</t>
  </si>
  <si>
    <t>2022-12-23</t>
  </si>
  <si>
    <t>2019-02-13</t>
  </si>
  <si>
    <t>2019-10-27</t>
  </si>
  <si>
    <t>2023-01-02</t>
  </si>
  <si>
    <t>2019-03-16</t>
  </si>
  <si>
    <t>2021-07-20</t>
  </si>
  <si>
    <t>2023-05-31</t>
  </si>
  <si>
    <t>2019-01-16</t>
  </si>
  <si>
    <t>2024-08-12</t>
  </si>
  <si>
    <t>2018-06-21</t>
  </si>
  <si>
    <t>2024-06-22</t>
  </si>
  <si>
    <t>2019-12-16</t>
  </si>
  <si>
    <t>2018-06-17</t>
  </si>
  <si>
    <t>2019-01-26</t>
  </si>
  <si>
    <t>2020-11-15</t>
  </si>
  <si>
    <t>2024-03-09</t>
  </si>
  <si>
    <t>2022-10-22</t>
  </si>
  <si>
    <t>2023-10-22</t>
  </si>
  <si>
    <t>2019-08-24</t>
  </si>
  <si>
    <t>2024-04-02</t>
  </si>
  <si>
    <t>2022-04-12</t>
  </si>
  <si>
    <t>2020-01-24</t>
  </si>
  <si>
    <t>2022-08-31</t>
  </si>
  <si>
    <t>2020-05-12</t>
  </si>
  <si>
    <t>2023-12-20</t>
  </si>
  <si>
    <t>2022-08-19</t>
  </si>
  <si>
    <t>2023-04-20</t>
  </si>
  <si>
    <t>2019-01-31</t>
  </si>
  <si>
    <t>2018-08-01</t>
  </si>
  <si>
    <t>2019-11-17</t>
  </si>
  <si>
    <t>2020-09-15</t>
  </si>
  <si>
    <t>2024-11-14</t>
  </si>
  <si>
    <t>2019-01-02</t>
  </si>
  <si>
    <t>2018-10-04</t>
  </si>
  <si>
    <t>2024-05-14</t>
  </si>
  <si>
    <t>2024-06-21</t>
  </si>
  <si>
    <t>2020-10-20</t>
  </si>
  <si>
    <t>2018-05-01</t>
  </si>
  <si>
    <t>2019-12-09</t>
  </si>
  <si>
    <t>2018-08-31</t>
  </si>
  <si>
    <t>2023-05-16</t>
  </si>
  <si>
    <t>2018-11-18</t>
  </si>
  <si>
    <t>2019-01-21</t>
  </si>
  <si>
    <t>2022-07-23</t>
  </si>
  <si>
    <t>2020-06-01</t>
  </si>
  <si>
    <t>2018-09-22</t>
  </si>
  <si>
    <t>2024-09-22</t>
  </si>
  <si>
    <t>2019-02-28</t>
  </si>
  <si>
    <t>2021-10-03</t>
  </si>
  <si>
    <t>2020-10-11</t>
  </si>
  <si>
    <t>2023-01-07</t>
  </si>
  <si>
    <t>Monthly Salary</t>
  </si>
  <si>
    <t>Customer Id</t>
  </si>
  <si>
    <t>customer Name</t>
  </si>
  <si>
    <t>Account type</t>
  </si>
  <si>
    <t>city</t>
  </si>
  <si>
    <t>loan status</t>
  </si>
  <si>
    <t>account status</t>
  </si>
  <si>
    <t>Premium/Normal</t>
  </si>
  <si>
    <t>Salary  Eligible/Not Eligible</t>
  </si>
  <si>
    <t>Auto loan Eligibility</t>
  </si>
  <si>
    <t>Follow up/ Do not contact</t>
  </si>
  <si>
    <t>Loan Customer/Non Loan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</si>
</sst>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0" xfId="0" applyFill="1"/>
    <xf numFmtId="2" fontId="1" fillId="2" borderId="1" xfId="0" applyNumberFormat="1" applyFont="1" applyFill="1" applyBorder="1" applyAlignment="1">
      <alignment horizontal="center" vertical="top" wrapText="1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topLeftCell="G1" workbookViewId="0">
      <selection activeCell="S6" sqref="S6"/>
    </sheetView>
  </sheetViews>
  <sheetFormatPr defaultRowHeight="14.5" x14ac:dyDescent="0.35"/>
  <cols>
    <col min="1" max="1" width="4.81640625" bestFit="1" customWidth="1"/>
    <col min="2" max="2" width="9.90625" customWidth="1"/>
    <col min="3" max="3" width="12.6328125" customWidth="1"/>
    <col min="4" max="5" width="10" bestFit="1" customWidth="1"/>
    <col min="6" max="6" width="7.26953125" bestFit="1" customWidth="1"/>
    <col min="7" max="7" width="8.6328125" customWidth="1"/>
    <col min="8" max="8" width="11.08984375" bestFit="1" customWidth="1"/>
    <col min="9" max="9" width="9.08984375" customWidth="1"/>
    <col min="10" max="10" width="10.36328125" bestFit="1" customWidth="1"/>
    <col min="13" max="13" width="14" customWidth="1"/>
    <col min="14" max="14" width="17.90625" customWidth="1"/>
    <col min="15" max="15" width="12.1796875" customWidth="1"/>
    <col min="16" max="16" width="17.6328125" customWidth="1"/>
  </cols>
  <sheetData>
    <row r="1" spans="1:16" ht="43.5" x14ac:dyDescent="0.35">
      <c r="A1" s="7" t="s">
        <v>56</v>
      </c>
      <c r="B1" s="7" t="s">
        <v>57</v>
      </c>
      <c r="C1" s="7" t="s">
        <v>58</v>
      </c>
      <c r="D1" s="7" t="s">
        <v>0</v>
      </c>
      <c r="E1" s="7" t="s">
        <v>1</v>
      </c>
      <c r="F1" s="7" t="s">
        <v>59</v>
      </c>
      <c r="G1" s="7" t="s">
        <v>376</v>
      </c>
      <c r="H1" s="7" t="s">
        <v>60</v>
      </c>
      <c r="I1" s="7" t="s">
        <v>61</v>
      </c>
      <c r="J1" s="7" t="s">
        <v>62</v>
      </c>
      <c r="L1" s="13" t="s">
        <v>383</v>
      </c>
      <c r="M1" s="13" t="s">
        <v>384</v>
      </c>
      <c r="N1" s="7" t="s">
        <v>385</v>
      </c>
      <c r="O1" s="7" t="s">
        <v>386</v>
      </c>
      <c r="P1" s="7" t="s">
        <v>387</v>
      </c>
    </row>
    <row r="2" spans="1:16" x14ac:dyDescent="0.35">
      <c r="A2" s="1">
        <v>8136</v>
      </c>
      <c r="B2" s="1" t="s">
        <v>63</v>
      </c>
      <c r="C2" s="1" t="s">
        <v>17</v>
      </c>
      <c r="D2" s="1" t="s">
        <v>64</v>
      </c>
      <c r="E2" s="1" t="s">
        <v>20</v>
      </c>
      <c r="F2" s="1">
        <v>50563</v>
      </c>
      <c r="G2" s="1">
        <v>194117</v>
      </c>
      <c r="H2" s="1" t="s">
        <v>65</v>
      </c>
      <c r="I2" s="1" t="s">
        <v>66</v>
      </c>
      <c r="J2" s="1" t="s">
        <v>67</v>
      </c>
      <c r="L2" s="14" t="str">
        <f>IF(F2&gt;300000,"premium","Normal")</f>
        <v>Normal</v>
      </c>
      <c r="M2" t="str">
        <f>IF(G2&gt;50000,"Salary Eligible","Not Eligible")</f>
        <v>Salary Eligible</v>
      </c>
      <c r="N2" t="str">
        <f>IF(AND(G2&gt;75000,F2&gt;100000),"Auto-loan Eligible","Not Eligible")</f>
        <v>Not Eligible</v>
      </c>
      <c r="O2" t="str">
        <f>IF(I2="Closed","Do Not Contact","Follow up")</f>
        <v>Follow up</v>
      </c>
      <c r="P2" t="str">
        <f>IF(H2="yes","Loan Customer","Non Loan Customer")</f>
        <v>Non Loan Customer</v>
      </c>
    </row>
    <row r="3" spans="1:16" x14ac:dyDescent="0.35">
      <c r="A3" s="1">
        <v>8278</v>
      </c>
      <c r="B3" s="1" t="s">
        <v>68</v>
      </c>
      <c r="C3" s="1" t="s">
        <v>15</v>
      </c>
      <c r="D3" s="1" t="s">
        <v>20</v>
      </c>
      <c r="E3" s="1" t="s">
        <v>18</v>
      </c>
      <c r="F3" s="1">
        <v>487846</v>
      </c>
      <c r="G3" s="1">
        <v>138053</v>
      </c>
      <c r="H3" s="1" t="s">
        <v>69</v>
      </c>
      <c r="I3" s="1" t="s">
        <v>66</v>
      </c>
      <c r="J3" s="1" t="s">
        <v>70</v>
      </c>
      <c r="L3" s="14" t="str">
        <f t="shared" ref="L3:L66" si="0">IF(F3&gt;300000,"premium","Normal")</f>
        <v>premium</v>
      </c>
      <c r="M3" t="str">
        <f t="shared" ref="M3:M66" si="1">IF(G3&gt;50000,"Salary Eligible","Not Eligible")</f>
        <v>Salary Eligible</v>
      </c>
      <c r="N3" t="str">
        <f t="shared" ref="N3:N66" si="2">IF(AND(G3&gt;75000,F3&gt;100000),"Auto-loan Eligible","Not Eligible")</f>
        <v>Auto-loan Eligible</v>
      </c>
      <c r="O3" t="str">
        <f t="shared" ref="O3:O66" si="3">IF(I3="Closed","Do Not Contact","Follow up")</f>
        <v>Follow up</v>
      </c>
      <c r="P3" t="str">
        <f t="shared" ref="P3:P66" si="4">IF(H3="yes","Loan Customer","Non Loan Customer")</f>
        <v>Loan Customer</v>
      </c>
    </row>
    <row r="4" spans="1:16" x14ac:dyDescent="0.35">
      <c r="A4" s="1">
        <v>8750</v>
      </c>
      <c r="B4" s="1" t="s">
        <v>71</v>
      </c>
      <c r="C4" s="1" t="s">
        <v>17</v>
      </c>
      <c r="D4" s="1" t="s">
        <v>19</v>
      </c>
      <c r="E4" s="1" t="s">
        <v>72</v>
      </c>
      <c r="F4" s="1">
        <v>752614</v>
      </c>
      <c r="G4" s="1">
        <v>84078</v>
      </c>
      <c r="H4" s="1" t="s">
        <v>65</v>
      </c>
      <c r="I4" s="1" t="s">
        <v>66</v>
      </c>
      <c r="J4" s="1" t="s">
        <v>73</v>
      </c>
      <c r="L4" s="14" t="str">
        <f t="shared" si="0"/>
        <v>premium</v>
      </c>
      <c r="M4" t="str">
        <f t="shared" si="1"/>
        <v>Salary Eligible</v>
      </c>
      <c r="N4" t="str">
        <f t="shared" si="2"/>
        <v>Auto-loan Eligible</v>
      </c>
      <c r="O4" t="str">
        <f t="shared" si="3"/>
        <v>Follow up</v>
      </c>
      <c r="P4" t="str">
        <f t="shared" si="4"/>
        <v>Non Loan Customer</v>
      </c>
    </row>
    <row r="5" spans="1:16" x14ac:dyDescent="0.35">
      <c r="A5" s="1">
        <v>7274</v>
      </c>
      <c r="B5" s="1" t="s">
        <v>63</v>
      </c>
      <c r="C5" s="1" t="s">
        <v>15</v>
      </c>
      <c r="D5" s="1" t="s">
        <v>64</v>
      </c>
      <c r="E5" s="1" t="s">
        <v>20</v>
      </c>
      <c r="F5" s="1">
        <v>776110</v>
      </c>
      <c r="G5" s="1">
        <v>188597</v>
      </c>
      <c r="H5" s="1" t="s">
        <v>69</v>
      </c>
      <c r="I5" s="1" t="s">
        <v>66</v>
      </c>
      <c r="J5" s="1" t="s">
        <v>74</v>
      </c>
      <c r="L5" s="14" t="str">
        <f t="shared" si="0"/>
        <v>premium</v>
      </c>
      <c r="M5" t="str">
        <f t="shared" si="1"/>
        <v>Salary Eligible</v>
      </c>
      <c r="N5" t="str">
        <f t="shared" si="2"/>
        <v>Auto-loan Eligible</v>
      </c>
      <c r="O5" t="str">
        <f t="shared" si="3"/>
        <v>Follow up</v>
      </c>
      <c r="P5" t="str">
        <f t="shared" si="4"/>
        <v>Loan Customer</v>
      </c>
    </row>
    <row r="6" spans="1:16" x14ac:dyDescent="0.35">
      <c r="A6" s="1">
        <v>8381</v>
      </c>
      <c r="B6" s="1" t="s">
        <v>8</v>
      </c>
      <c r="C6" s="1" t="s">
        <v>17</v>
      </c>
      <c r="D6" s="1" t="s">
        <v>20</v>
      </c>
      <c r="E6" s="1" t="s">
        <v>75</v>
      </c>
      <c r="F6" s="1">
        <v>298340</v>
      </c>
      <c r="G6" s="1">
        <v>25050</v>
      </c>
      <c r="H6" s="1" t="s">
        <v>65</v>
      </c>
      <c r="I6" s="1" t="s">
        <v>66</v>
      </c>
      <c r="J6" s="1" t="s">
        <v>76</v>
      </c>
      <c r="L6" s="14" t="str">
        <f t="shared" si="0"/>
        <v>Normal</v>
      </c>
      <c r="M6" t="str">
        <f t="shared" si="1"/>
        <v>Not Eligible</v>
      </c>
      <c r="N6" t="str">
        <f t="shared" si="2"/>
        <v>Not Eligible</v>
      </c>
      <c r="O6" t="str">
        <f t="shared" si="3"/>
        <v>Follow up</v>
      </c>
      <c r="P6" t="str">
        <f t="shared" si="4"/>
        <v>Non Loan Customer</v>
      </c>
    </row>
    <row r="7" spans="1:16" x14ac:dyDescent="0.35">
      <c r="A7" s="1">
        <v>1979</v>
      </c>
      <c r="B7" s="1" t="s">
        <v>77</v>
      </c>
      <c r="C7" s="1" t="s">
        <v>15</v>
      </c>
      <c r="D7" s="1" t="s">
        <v>75</v>
      </c>
      <c r="E7" s="1" t="s">
        <v>18</v>
      </c>
      <c r="F7" s="1">
        <v>746941</v>
      </c>
      <c r="G7" s="1">
        <v>73888</v>
      </c>
      <c r="H7" s="1" t="s">
        <v>69</v>
      </c>
      <c r="I7" s="1" t="s">
        <v>66</v>
      </c>
      <c r="J7" s="1" t="s">
        <v>78</v>
      </c>
      <c r="L7" s="14" t="str">
        <f t="shared" si="0"/>
        <v>premium</v>
      </c>
      <c r="M7" t="str">
        <f t="shared" si="1"/>
        <v>Salary Eligible</v>
      </c>
      <c r="N7" t="str">
        <f t="shared" si="2"/>
        <v>Not Eligible</v>
      </c>
      <c r="O7" t="str">
        <f t="shared" si="3"/>
        <v>Follow up</v>
      </c>
      <c r="P7" t="str">
        <f t="shared" si="4"/>
        <v>Loan Customer</v>
      </c>
    </row>
    <row r="8" spans="1:16" x14ac:dyDescent="0.35">
      <c r="A8" s="1">
        <v>2086</v>
      </c>
      <c r="B8" s="1" t="s">
        <v>4</v>
      </c>
      <c r="C8" s="1" t="s">
        <v>16</v>
      </c>
      <c r="D8" s="1" t="s">
        <v>75</v>
      </c>
      <c r="E8" s="1" t="s">
        <v>72</v>
      </c>
      <c r="F8" s="1">
        <v>367003</v>
      </c>
      <c r="G8" s="1">
        <v>113022</v>
      </c>
      <c r="H8" s="1" t="s">
        <v>69</v>
      </c>
      <c r="I8" s="1" t="s">
        <v>79</v>
      </c>
      <c r="J8" s="1" t="s">
        <v>80</v>
      </c>
      <c r="L8" s="14" t="str">
        <f t="shared" si="0"/>
        <v>premium</v>
      </c>
      <c r="M8" t="str">
        <f t="shared" si="1"/>
        <v>Salary Eligible</v>
      </c>
      <c r="N8" t="str">
        <f t="shared" si="2"/>
        <v>Auto-loan Eligible</v>
      </c>
      <c r="O8" t="str">
        <f t="shared" si="3"/>
        <v>Do Not Contact</v>
      </c>
      <c r="P8" t="str">
        <f t="shared" si="4"/>
        <v>Loan Customer</v>
      </c>
    </row>
    <row r="9" spans="1:16" x14ac:dyDescent="0.35">
      <c r="A9" s="1">
        <v>1548</v>
      </c>
      <c r="B9" s="1" t="s">
        <v>11</v>
      </c>
      <c r="C9" s="1" t="s">
        <v>16</v>
      </c>
      <c r="D9" s="1" t="s">
        <v>64</v>
      </c>
      <c r="E9" s="1" t="s">
        <v>19</v>
      </c>
      <c r="F9" s="1">
        <v>695969</v>
      </c>
      <c r="G9" s="1">
        <v>84003</v>
      </c>
      <c r="H9" s="1" t="s">
        <v>65</v>
      </c>
      <c r="I9" s="1" t="s">
        <v>81</v>
      </c>
      <c r="J9" s="1" t="s">
        <v>82</v>
      </c>
      <c r="L9" s="14" t="str">
        <f t="shared" si="0"/>
        <v>premium</v>
      </c>
      <c r="M9" t="str">
        <f t="shared" si="1"/>
        <v>Salary Eligible</v>
      </c>
      <c r="N9" t="str">
        <f t="shared" si="2"/>
        <v>Auto-loan Eligible</v>
      </c>
      <c r="O9" t="str">
        <f t="shared" si="3"/>
        <v>Follow up</v>
      </c>
      <c r="P9" t="str">
        <f t="shared" si="4"/>
        <v>Non Loan Customer</v>
      </c>
    </row>
    <row r="10" spans="1:16" x14ac:dyDescent="0.35">
      <c r="A10" s="1">
        <v>5056</v>
      </c>
      <c r="B10" s="1" t="s">
        <v>68</v>
      </c>
      <c r="C10" s="1" t="s">
        <v>17</v>
      </c>
      <c r="D10" s="1" t="s">
        <v>20</v>
      </c>
      <c r="E10" s="1" t="s">
        <v>19</v>
      </c>
      <c r="F10" s="1">
        <v>803737</v>
      </c>
      <c r="G10" s="1">
        <v>162860</v>
      </c>
      <c r="H10" s="1" t="s">
        <v>69</v>
      </c>
      <c r="I10" s="1" t="s">
        <v>66</v>
      </c>
      <c r="J10" s="1" t="s">
        <v>83</v>
      </c>
      <c r="L10" s="14" t="str">
        <f t="shared" si="0"/>
        <v>premium</v>
      </c>
      <c r="M10" t="str">
        <f t="shared" si="1"/>
        <v>Salary Eligible</v>
      </c>
      <c r="N10" t="str">
        <f t="shared" si="2"/>
        <v>Auto-loan Eligible</v>
      </c>
      <c r="O10" t="str">
        <f t="shared" si="3"/>
        <v>Follow up</v>
      </c>
      <c r="P10" t="str">
        <f t="shared" si="4"/>
        <v>Loan Customer</v>
      </c>
    </row>
    <row r="11" spans="1:16" x14ac:dyDescent="0.35">
      <c r="A11" s="1">
        <v>9076</v>
      </c>
      <c r="B11" s="1" t="s">
        <v>10</v>
      </c>
      <c r="C11" s="1" t="s">
        <v>16</v>
      </c>
      <c r="D11" s="1" t="s">
        <v>20</v>
      </c>
      <c r="E11" s="1" t="s">
        <v>19</v>
      </c>
      <c r="F11" s="1">
        <v>165017</v>
      </c>
      <c r="G11" s="1">
        <v>161968</v>
      </c>
      <c r="H11" s="1" t="s">
        <v>69</v>
      </c>
      <c r="I11" s="1" t="s">
        <v>81</v>
      </c>
      <c r="J11" s="1" t="s">
        <v>84</v>
      </c>
      <c r="L11" s="14" t="str">
        <f t="shared" si="0"/>
        <v>Normal</v>
      </c>
      <c r="M11" t="str">
        <f t="shared" si="1"/>
        <v>Salary Eligible</v>
      </c>
      <c r="N11" t="str">
        <f t="shared" si="2"/>
        <v>Auto-loan Eligible</v>
      </c>
      <c r="O11" t="str">
        <f t="shared" si="3"/>
        <v>Follow up</v>
      </c>
      <c r="P11" t="str">
        <f t="shared" si="4"/>
        <v>Loan Customer</v>
      </c>
    </row>
    <row r="12" spans="1:16" x14ac:dyDescent="0.35">
      <c r="A12" s="1">
        <v>8902</v>
      </c>
      <c r="B12" s="1" t="s">
        <v>85</v>
      </c>
      <c r="C12" s="1" t="s">
        <v>16</v>
      </c>
      <c r="D12" s="1" t="s">
        <v>75</v>
      </c>
      <c r="E12" s="1" t="s">
        <v>75</v>
      </c>
      <c r="F12" s="1">
        <v>769725</v>
      </c>
      <c r="G12" s="1">
        <v>190263</v>
      </c>
      <c r="H12" s="1" t="s">
        <v>65</v>
      </c>
      <c r="I12" s="1" t="s">
        <v>81</v>
      </c>
      <c r="J12" s="1" t="s">
        <v>86</v>
      </c>
      <c r="L12" s="14" t="str">
        <f t="shared" si="0"/>
        <v>premium</v>
      </c>
      <c r="M12" t="str">
        <f t="shared" si="1"/>
        <v>Salary Eligible</v>
      </c>
      <c r="N12" t="str">
        <f t="shared" si="2"/>
        <v>Auto-loan Eligible</v>
      </c>
      <c r="O12" t="str">
        <f t="shared" si="3"/>
        <v>Follow up</v>
      </c>
      <c r="P12" t="str">
        <f t="shared" si="4"/>
        <v>Non Loan Customer</v>
      </c>
    </row>
    <row r="13" spans="1:16" x14ac:dyDescent="0.35">
      <c r="A13" s="1">
        <v>1945</v>
      </c>
      <c r="B13" s="1" t="s">
        <v>13</v>
      </c>
      <c r="C13" s="1" t="s">
        <v>15</v>
      </c>
      <c r="D13" s="1" t="s">
        <v>72</v>
      </c>
      <c r="E13" s="1" t="s">
        <v>20</v>
      </c>
      <c r="F13" s="1">
        <v>773050</v>
      </c>
      <c r="G13" s="1">
        <v>177381</v>
      </c>
      <c r="H13" s="1" t="s">
        <v>69</v>
      </c>
      <c r="I13" s="1" t="s">
        <v>66</v>
      </c>
      <c r="J13" s="1" t="s">
        <v>87</v>
      </c>
      <c r="L13" s="14" t="str">
        <f t="shared" si="0"/>
        <v>premium</v>
      </c>
      <c r="M13" t="str">
        <f t="shared" si="1"/>
        <v>Salary Eligible</v>
      </c>
      <c r="N13" t="str">
        <f t="shared" si="2"/>
        <v>Auto-loan Eligible</v>
      </c>
      <c r="O13" t="str">
        <f t="shared" si="3"/>
        <v>Follow up</v>
      </c>
      <c r="P13" t="str">
        <f t="shared" si="4"/>
        <v>Loan Customer</v>
      </c>
    </row>
    <row r="14" spans="1:16" x14ac:dyDescent="0.35">
      <c r="A14" s="1">
        <v>2931</v>
      </c>
      <c r="B14" s="1" t="s">
        <v>63</v>
      </c>
      <c r="C14" s="1" t="s">
        <v>16</v>
      </c>
      <c r="D14" s="1" t="s">
        <v>20</v>
      </c>
      <c r="E14" s="1" t="s">
        <v>20</v>
      </c>
      <c r="F14" s="1">
        <v>248850</v>
      </c>
      <c r="G14" s="1">
        <v>149105</v>
      </c>
      <c r="H14" s="1" t="s">
        <v>69</v>
      </c>
      <c r="I14" s="1" t="s">
        <v>81</v>
      </c>
      <c r="J14" s="1" t="s">
        <v>88</v>
      </c>
      <c r="L14" s="14" t="str">
        <f t="shared" si="0"/>
        <v>Normal</v>
      </c>
      <c r="M14" t="str">
        <f t="shared" si="1"/>
        <v>Salary Eligible</v>
      </c>
      <c r="N14" t="str">
        <f t="shared" si="2"/>
        <v>Auto-loan Eligible</v>
      </c>
      <c r="O14" t="str">
        <f t="shared" si="3"/>
        <v>Follow up</v>
      </c>
      <c r="P14" t="str">
        <f t="shared" si="4"/>
        <v>Loan Customer</v>
      </c>
    </row>
    <row r="15" spans="1:16" x14ac:dyDescent="0.35">
      <c r="A15" s="1">
        <v>6724</v>
      </c>
      <c r="B15" s="1" t="s">
        <v>63</v>
      </c>
      <c r="C15" s="1" t="s">
        <v>17</v>
      </c>
      <c r="D15" s="1" t="s">
        <v>75</v>
      </c>
      <c r="E15" s="1" t="s">
        <v>89</v>
      </c>
      <c r="F15" s="1">
        <v>270209</v>
      </c>
      <c r="G15" s="1">
        <v>146736</v>
      </c>
      <c r="H15" s="1" t="s">
        <v>69</v>
      </c>
      <c r="I15" s="1" t="s">
        <v>81</v>
      </c>
      <c r="J15" s="1" t="s">
        <v>90</v>
      </c>
      <c r="L15" s="14" t="str">
        <f t="shared" si="0"/>
        <v>Normal</v>
      </c>
      <c r="M15" t="str">
        <f t="shared" si="1"/>
        <v>Salary Eligible</v>
      </c>
      <c r="N15" t="str">
        <f t="shared" si="2"/>
        <v>Auto-loan Eligible</v>
      </c>
      <c r="O15" t="str">
        <f t="shared" si="3"/>
        <v>Follow up</v>
      </c>
      <c r="P15" t="str">
        <f t="shared" si="4"/>
        <v>Loan Customer</v>
      </c>
    </row>
    <row r="16" spans="1:16" x14ac:dyDescent="0.35">
      <c r="A16" s="1">
        <v>5256</v>
      </c>
      <c r="B16" s="1" t="s">
        <v>12</v>
      </c>
      <c r="C16" s="1" t="s">
        <v>16</v>
      </c>
      <c r="D16" s="1" t="s">
        <v>72</v>
      </c>
      <c r="E16" s="1" t="s">
        <v>19</v>
      </c>
      <c r="F16" s="1">
        <v>305685</v>
      </c>
      <c r="G16" s="1">
        <v>38400</v>
      </c>
      <c r="H16" s="1" t="s">
        <v>65</v>
      </c>
      <c r="I16" s="1" t="s">
        <v>81</v>
      </c>
      <c r="J16" s="1" t="s">
        <v>91</v>
      </c>
      <c r="L16" s="14" t="str">
        <f t="shared" si="0"/>
        <v>premium</v>
      </c>
      <c r="M16" t="str">
        <f t="shared" si="1"/>
        <v>Not Eligible</v>
      </c>
      <c r="N16" t="str">
        <f t="shared" si="2"/>
        <v>Not Eligible</v>
      </c>
      <c r="O16" t="str">
        <f t="shared" si="3"/>
        <v>Follow up</v>
      </c>
      <c r="P16" t="str">
        <f t="shared" si="4"/>
        <v>Non Loan Customer</v>
      </c>
    </row>
    <row r="17" spans="1:16" x14ac:dyDescent="0.35">
      <c r="A17" s="1">
        <v>8052</v>
      </c>
      <c r="B17" s="1" t="s">
        <v>92</v>
      </c>
      <c r="C17" s="1" t="s">
        <v>17</v>
      </c>
      <c r="D17" s="1" t="s">
        <v>75</v>
      </c>
      <c r="E17" s="1" t="s">
        <v>75</v>
      </c>
      <c r="F17" s="1">
        <v>482498</v>
      </c>
      <c r="G17" s="1">
        <v>21999</v>
      </c>
      <c r="H17" s="1" t="s">
        <v>65</v>
      </c>
      <c r="I17" s="1" t="s">
        <v>66</v>
      </c>
      <c r="J17" s="1" t="s">
        <v>93</v>
      </c>
      <c r="L17" s="14" t="str">
        <f t="shared" si="0"/>
        <v>premium</v>
      </c>
      <c r="M17" t="str">
        <f t="shared" si="1"/>
        <v>Not Eligible</v>
      </c>
      <c r="N17" t="str">
        <f t="shared" si="2"/>
        <v>Not Eligible</v>
      </c>
      <c r="O17" t="str">
        <f t="shared" si="3"/>
        <v>Follow up</v>
      </c>
      <c r="P17" t="str">
        <f t="shared" si="4"/>
        <v>Non Loan Customer</v>
      </c>
    </row>
    <row r="18" spans="1:16" x14ac:dyDescent="0.35">
      <c r="A18" s="1">
        <v>5814</v>
      </c>
      <c r="B18" s="1" t="s">
        <v>94</v>
      </c>
      <c r="C18" s="1" t="s">
        <v>15</v>
      </c>
      <c r="D18" s="1" t="s">
        <v>19</v>
      </c>
      <c r="E18" s="1" t="s">
        <v>18</v>
      </c>
      <c r="F18" s="1">
        <v>171347</v>
      </c>
      <c r="G18" s="1">
        <v>179325</v>
      </c>
      <c r="H18" s="1" t="s">
        <v>65</v>
      </c>
      <c r="I18" s="1" t="s">
        <v>66</v>
      </c>
      <c r="J18" s="1" t="s">
        <v>95</v>
      </c>
      <c r="L18" s="14" t="str">
        <f t="shared" si="0"/>
        <v>Normal</v>
      </c>
      <c r="M18" t="str">
        <f t="shared" si="1"/>
        <v>Salary Eligible</v>
      </c>
      <c r="N18" t="str">
        <f t="shared" si="2"/>
        <v>Auto-loan Eligible</v>
      </c>
      <c r="O18" t="str">
        <f t="shared" si="3"/>
        <v>Follow up</v>
      </c>
      <c r="P18" t="str">
        <f t="shared" si="4"/>
        <v>Non Loan Customer</v>
      </c>
    </row>
    <row r="19" spans="1:16" x14ac:dyDescent="0.35">
      <c r="A19" s="1">
        <v>3425</v>
      </c>
      <c r="B19" s="1" t="s">
        <v>96</v>
      </c>
      <c r="C19" s="1" t="s">
        <v>15</v>
      </c>
      <c r="D19" s="1" t="s">
        <v>64</v>
      </c>
      <c r="E19" s="1" t="s">
        <v>75</v>
      </c>
      <c r="F19" s="1">
        <v>576995</v>
      </c>
      <c r="G19" s="1">
        <v>118685</v>
      </c>
      <c r="H19" s="1" t="s">
        <v>65</v>
      </c>
      <c r="I19" s="1" t="s">
        <v>66</v>
      </c>
      <c r="J19" s="1" t="s">
        <v>97</v>
      </c>
      <c r="L19" s="14" t="str">
        <f t="shared" si="0"/>
        <v>premium</v>
      </c>
      <c r="M19" t="str">
        <f t="shared" si="1"/>
        <v>Salary Eligible</v>
      </c>
      <c r="N19" t="str">
        <f t="shared" si="2"/>
        <v>Auto-loan Eligible</v>
      </c>
      <c r="O19" t="str">
        <f t="shared" si="3"/>
        <v>Follow up</v>
      </c>
      <c r="P19" t="str">
        <f t="shared" si="4"/>
        <v>Non Loan Customer</v>
      </c>
    </row>
    <row r="20" spans="1:16" x14ac:dyDescent="0.35">
      <c r="A20" s="1">
        <v>4654</v>
      </c>
      <c r="B20" s="1" t="s">
        <v>92</v>
      </c>
      <c r="C20" s="1" t="s">
        <v>15</v>
      </c>
      <c r="D20" s="1" t="s">
        <v>20</v>
      </c>
      <c r="E20" s="1" t="s">
        <v>64</v>
      </c>
      <c r="F20" s="1">
        <v>2333</v>
      </c>
      <c r="G20" s="1">
        <v>89553</v>
      </c>
      <c r="H20" s="1" t="s">
        <v>65</v>
      </c>
      <c r="I20" s="1" t="s">
        <v>81</v>
      </c>
      <c r="J20" s="1" t="s">
        <v>98</v>
      </c>
      <c r="L20" s="14" t="str">
        <f t="shared" si="0"/>
        <v>Normal</v>
      </c>
      <c r="M20" t="str">
        <f t="shared" si="1"/>
        <v>Salary Eligible</v>
      </c>
      <c r="N20" t="str">
        <f t="shared" si="2"/>
        <v>Not Eligible</v>
      </c>
      <c r="O20" t="str">
        <f t="shared" si="3"/>
        <v>Follow up</v>
      </c>
      <c r="P20" t="str">
        <f t="shared" si="4"/>
        <v>Non Loan Customer</v>
      </c>
    </row>
    <row r="21" spans="1:16" x14ac:dyDescent="0.35">
      <c r="A21" s="1">
        <v>6427</v>
      </c>
      <c r="B21" s="1" t="s">
        <v>99</v>
      </c>
      <c r="C21" s="1" t="s">
        <v>15</v>
      </c>
      <c r="D21" s="1" t="s">
        <v>89</v>
      </c>
      <c r="E21" s="1" t="s">
        <v>19</v>
      </c>
      <c r="F21" s="1">
        <v>327671</v>
      </c>
      <c r="G21" s="1">
        <v>141844</v>
      </c>
      <c r="H21" s="1" t="s">
        <v>65</v>
      </c>
      <c r="I21" s="1" t="s">
        <v>66</v>
      </c>
      <c r="J21" s="1" t="s">
        <v>100</v>
      </c>
      <c r="L21" s="14" t="str">
        <f t="shared" si="0"/>
        <v>premium</v>
      </c>
      <c r="M21" t="str">
        <f t="shared" si="1"/>
        <v>Salary Eligible</v>
      </c>
      <c r="N21" t="str">
        <f t="shared" si="2"/>
        <v>Auto-loan Eligible</v>
      </c>
      <c r="O21" t="str">
        <f t="shared" si="3"/>
        <v>Follow up</v>
      </c>
      <c r="P21" t="str">
        <f t="shared" si="4"/>
        <v>Non Loan Customer</v>
      </c>
    </row>
    <row r="22" spans="1:16" x14ac:dyDescent="0.35">
      <c r="A22" s="1">
        <v>5568</v>
      </c>
      <c r="B22" s="1" t="s">
        <v>9</v>
      </c>
      <c r="C22" s="1" t="s">
        <v>17</v>
      </c>
      <c r="D22" s="1" t="s">
        <v>18</v>
      </c>
      <c r="E22" s="1" t="s">
        <v>89</v>
      </c>
      <c r="F22" s="1">
        <v>607534</v>
      </c>
      <c r="G22" s="1">
        <v>161688</v>
      </c>
      <c r="H22" s="1" t="s">
        <v>65</v>
      </c>
      <c r="I22" s="1" t="s">
        <v>66</v>
      </c>
      <c r="J22" s="1" t="s">
        <v>101</v>
      </c>
      <c r="L22" s="14" t="str">
        <f t="shared" si="0"/>
        <v>premium</v>
      </c>
      <c r="M22" t="str">
        <f t="shared" si="1"/>
        <v>Salary Eligible</v>
      </c>
      <c r="N22" t="str">
        <f t="shared" si="2"/>
        <v>Auto-loan Eligible</v>
      </c>
      <c r="O22" t="str">
        <f t="shared" si="3"/>
        <v>Follow up</v>
      </c>
      <c r="P22" t="str">
        <f t="shared" si="4"/>
        <v>Non Loan Customer</v>
      </c>
    </row>
    <row r="23" spans="1:16" x14ac:dyDescent="0.35">
      <c r="A23" s="1">
        <v>7579</v>
      </c>
      <c r="B23" s="1" t="s">
        <v>102</v>
      </c>
      <c r="C23" s="1" t="s">
        <v>16</v>
      </c>
      <c r="D23" s="1" t="s">
        <v>19</v>
      </c>
      <c r="E23" s="1" t="s">
        <v>18</v>
      </c>
      <c r="F23" s="1">
        <v>205507</v>
      </c>
      <c r="G23" s="1">
        <v>133792</v>
      </c>
      <c r="H23" s="1" t="s">
        <v>69</v>
      </c>
      <c r="I23" s="1" t="s">
        <v>81</v>
      </c>
      <c r="J23" s="1" t="s">
        <v>103</v>
      </c>
      <c r="L23" s="14" t="str">
        <f t="shared" si="0"/>
        <v>Normal</v>
      </c>
      <c r="M23" t="str">
        <f t="shared" si="1"/>
        <v>Salary Eligible</v>
      </c>
      <c r="N23" t="str">
        <f t="shared" si="2"/>
        <v>Auto-loan Eligible</v>
      </c>
      <c r="O23" t="str">
        <f t="shared" si="3"/>
        <v>Follow up</v>
      </c>
      <c r="P23" t="str">
        <f t="shared" si="4"/>
        <v>Loan Customer</v>
      </c>
    </row>
    <row r="24" spans="1:16" x14ac:dyDescent="0.35">
      <c r="A24" s="1">
        <v>2333</v>
      </c>
      <c r="B24" s="1" t="s">
        <v>96</v>
      </c>
      <c r="C24" s="1" t="s">
        <v>15</v>
      </c>
      <c r="D24" s="1" t="s">
        <v>18</v>
      </c>
      <c r="E24" s="1" t="s">
        <v>19</v>
      </c>
      <c r="F24" s="1">
        <v>163379</v>
      </c>
      <c r="G24" s="1">
        <v>60899</v>
      </c>
      <c r="H24" s="1" t="s">
        <v>69</v>
      </c>
      <c r="I24" s="1" t="s">
        <v>81</v>
      </c>
      <c r="J24" s="1" t="s">
        <v>104</v>
      </c>
      <c r="L24" s="14" t="str">
        <f t="shared" si="0"/>
        <v>Normal</v>
      </c>
      <c r="M24" t="str">
        <f t="shared" si="1"/>
        <v>Salary Eligible</v>
      </c>
      <c r="N24" t="str">
        <f t="shared" si="2"/>
        <v>Not Eligible</v>
      </c>
      <c r="O24" t="str">
        <f t="shared" si="3"/>
        <v>Follow up</v>
      </c>
      <c r="P24" t="str">
        <f t="shared" si="4"/>
        <v>Loan Customer</v>
      </c>
    </row>
    <row r="25" spans="1:16" x14ac:dyDescent="0.35">
      <c r="A25" s="1">
        <v>7210</v>
      </c>
      <c r="B25" s="1" t="s">
        <v>105</v>
      </c>
      <c r="C25" s="1" t="s">
        <v>17</v>
      </c>
      <c r="D25" s="1" t="s">
        <v>18</v>
      </c>
      <c r="E25" s="1" t="s">
        <v>64</v>
      </c>
      <c r="F25" s="1">
        <v>794814</v>
      </c>
      <c r="G25" s="1">
        <v>85568</v>
      </c>
      <c r="H25" s="1" t="s">
        <v>65</v>
      </c>
      <c r="I25" s="1" t="s">
        <v>66</v>
      </c>
      <c r="J25" s="1" t="s">
        <v>106</v>
      </c>
      <c r="L25" s="14" t="str">
        <f t="shared" si="0"/>
        <v>premium</v>
      </c>
      <c r="M25" t="str">
        <f t="shared" si="1"/>
        <v>Salary Eligible</v>
      </c>
      <c r="N25" t="str">
        <f t="shared" si="2"/>
        <v>Auto-loan Eligible</v>
      </c>
      <c r="O25" t="str">
        <f t="shared" si="3"/>
        <v>Follow up</v>
      </c>
      <c r="P25" t="str">
        <f t="shared" si="4"/>
        <v>Non Loan Customer</v>
      </c>
    </row>
    <row r="26" spans="1:16" x14ac:dyDescent="0.35">
      <c r="A26" s="1">
        <v>3776</v>
      </c>
      <c r="B26" s="1" t="s">
        <v>71</v>
      </c>
      <c r="C26" s="1" t="s">
        <v>15</v>
      </c>
      <c r="D26" s="1" t="s">
        <v>89</v>
      </c>
      <c r="E26" s="1" t="s">
        <v>72</v>
      </c>
      <c r="F26" s="1">
        <v>98807</v>
      </c>
      <c r="G26" s="1">
        <v>134542</v>
      </c>
      <c r="H26" s="1" t="s">
        <v>65</v>
      </c>
      <c r="I26" s="1" t="s">
        <v>66</v>
      </c>
      <c r="J26" s="1" t="s">
        <v>107</v>
      </c>
      <c r="L26" s="14" t="str">
        <f t="shared" si="0"/>
        <v>Normal</v>
      </c>
      <c r="M26" t="str">
        <f t="shared" si="1"/>
        <v>Salary Eligible</v>
      </c>
      <c r="N26" t="str">
        <f t="shared" si="2"/>
        <v>Not Eligible</v>
      </c>
      <c r="O26" t="str">
        <f t="shared" si="3"/>
        <v>Follow up</v>
      </c>
      <c r="P26" t="str">
        <f t="shared" si="4"/>
        <v>Non Loan Customer</v>
      </c>
    </row>
    <row r="27" spans="1:16" x14ac:dyDescent="0.35">
      <c r="A27" s="1">
        <v>7391</v>
      </c>
      <c r="B27" s="1" t="s">
        <v>108</v>
      </c>
      <c r="C27" s="1" t="s">
        <v>17</v>
      </c>
      <c r="D27" s="1" t="s">
        <v>64</v>
      </c>
      <c r="E27" s="1" t="s">
        <v>18</v>
      </c>
      <c r="F27" s="1">
        <v>168798</v>
      </c>
      <c r="G27" s="1">
        <v>172176</v>
      </c>
      <c r="H27" s="1" t="s">
        <v>69</v>
      </c>
      <c r="I27" s="1" t="s">
        <v>81</v>
      </c>
      <c r="J27" s="1" t="s">
        <v>109</v>
      </c>
      <c r="L27" s="14" t="str">
        <f t="shared" si="0"/>
        <v>Normal</v>
      </c>
      <c r="M27" t="str">
        <f t="shared" si="1"/>
        <v>Salary Eligible</v>
      </c>
      <c r="N27" t="str">
        <f t="shared" si="2"/>
        <v>Auto-loan Eligible</v>
      </c>
      <c r="O27" t="str">
        <f t="shared" si="3"/>
        <v>Follow up</v>
      </c>
      <c r="P27" t="str">
        <f t="shared" si="4"/>
        <v>Loan Customer</v>
      </c>
    </row>
    <row r="28" spans="1:16" x14ac:dyDescent="0.35">
      <c r="A28" s="1">
        <v>1743</v>
      </c>
      <c r="B28" s="1" t="s">
        <v>7</v>
      </c>
      <c r="C28" s="1" t="s">
        <v>15</v>
      </c>
      <c r="D28" s="1" t="s">
        <v>18</v>
      </c>
      <c r="E28" s="1" t="s">
        <v>64</v>
      </c>
      <c r="F28" s="1">
        <v>662729</v>
      </c>
      <c r="G28" s="1">
        <v>179631</v>
      </c>
      <c r="H28" s="1" t="s">
        <v>65</v>
      </c>
      <c r="I28" s="1" t="s">
        <v>81</v>
      </c>
      <c r="J28" s="1" t="s">
        <v>110</v>
      </c>
      <c r="L28" s="14" t="str">
        <f t="shared" si="0"/>
        <v>premium</v>
      </c>
      <c r="M28" t="str">
        <f t="shared" si="1"/>
        <v>Salary Eligible</v>
      </c>
      <c r="N28" t="str">
        <f t="shared" si="2"/>
        <v>Auto-loan Eligible</v>
      </c>
      <c r="O28" t="str">
        <f t="shared" si="3"/>
        <v>Follow up</v>
      </c>
      <c r="P28" t="str">
        <f t="shared" si="4"/>
        <v>Non Loan Customer</v>
      </c>
    </row>
    <row r="29" spans="1:16" x14ac:dyDescent="0.35">
      <c r="A29" s="1">
        <v>1303</v>
      </c>
      <c r="B29" s="1" t="s">
        <v>7</v>
      </c>
      <c r="C29" s="1" t="s">
        <v>15</v>
      </c>
      <c r="D29" s="1" t="s">
        <v>75</v>
      </c>
      <c r="E29" s="1" t="s">
        <v>64</v>
      </c>
      <c r="F29" s="1">
        <v>91525</v>
      </c>
      <c r="G29" s="1">
        <v>92032</v>
      </c>
      <c r="H29" s="1" t="s">
        <v>65</v>
      </c>
      <c r="I29" s="1" t="s">
        <v>66</v>
      </c>
      <c r="J29" s="1" t="s">
        <v>111</v>
      </c>
      <c r="L29" s="14" t="str">
        <f t="shared" si="0"/>
        <v>Normal</v>
      </c>
      <c r="M29" t="str">
        <f t="shared" si="1"/>
        <v>Salary Eligible</v>
      </c>
      <c r="N29" t="str">
        <f t="shared" si="2"/>
        <v>Not Eligible</v>
      </c>
      <c r="O29" t="str">
        <f t="shared" si="3"/>
        <v>Follow up</v>
      </c>
      <c r="P29" t="str">
        <f t="shared" si="4"/>
        <v>Non Loan Customer</v>
      </c>
    </row>
    <row r="30" spans="1:16" x14ac:dyDescent="0.35">
      <c r="A30" s="1">
        <v>4974</v>
      </c>
      <c r="B30" s="1" t="s">
        <v>8</v>
      </c>
      <c r="C30" s="1" t="s">
        <v>15</v>
      </c>
      <c r="D30" s="1" t="s">
        <v>18</v>
      </c>
      <c r="E30" s="1" t="s">
        <v>19</v>
      </c>
      <c r="F30" s="1">
        <v>580317</v>
      </c>
      <c r="G30" s="1">
        <v>37803</v>
      </c>
      <c r="H30" s="1" t="s">
        <v>69</v>
      </c>
      <c r="I30" s="1" t="s">
        <v>66</v>
      </c>
      <c r="J30" s="1" t="s">
        <v>112</v>
      </c>
      <c r="L30" s="14" t="str">
        <f t="shared" si="0"/>
        <v>premium</v>
      </c>
      <c r="M30" t="str">
        <f t="shared" si="1"/>
        <v>Not Eligible</v>
      </c>
      <c r="N30" t="str">
        <f t="shared" si="2"/>
        <v>Not Eligible</v>
      </c>
      <c r="O30" t="str">
        <f t="shared" si="3"/>
        <v>Follow up</v>
      </c>
      <c r="P30" t="str">
        <f t="shared" si="4"/>
        <v>Loan Customer</v>
      </c>
    </row>
    <row r="31" spans="1:16" x14ac:dyDescent="0.35">
      <c r="A31" s="1">
        <v>8314</v>
      </c>
      <c r="B31" s="1" t="s">
        <v>94</v>
      </c>
      <c r="C31" s="1" t="s">
        <v>16</v>
      </c>
      <c r="D31" s="1" t="s">
        <v>19</v>
      </c>
      <c r="E31" s="1" t="s">
        <v>20</v>
      </c>
      <c r="F31" s="1">
        <v>430674</v>
      </c>
      <c r="G31" s="1">
        <v>74300</v>
      </c>
      <c r="H31" s="1" t="s">
        <v>69</v>
      </c>
      <c r="I31" s="1" t="s">
        <v>81</v>
      </c>
      <c r="J31" s="1" t="s">
        <v>113</v>
      </c>
      <c r="L31" s="14" t="str">
        <f t="shared" si="0"/>
        <v>premium</v>
      </c>
      <c r="M31" t="str">
        <f t="shared" si="1"/>
        <v>Salary Eligible</v>
      </c>
      <c r="N31" t="str">
        <f t="shared" si="2"/>
        <v>Not Eligible</v>
      </c>
      <c r="O31" t="str">
        <f t="shared" si="3"/>
        <v>Follow up</v>
      </c>
      <c r="P31" t="str">
        <f t="shared" si="4"/>
        <v>Loan Customer</v>
      </c>
    </row>
    <row r="32" spans="1:16" x14ac:dyDescent="0.35">
      <c r="A32" s="1">
        <v>8974</v>
      </c>
      <c r="B32" s="1" t="s">
        <v>114</v>
      </c>
      <c r="C32" s="1" t="s">
        <v>16</v>
      </c>
      <c r="D32" s="1" t="s">
        <v>19</v>
      </c>
      <c r="E32" s="1" t="s">
        <v>19</v>
      </c>
      <c r="F32" s="1">
        <v>121267</v>
      </c>
      <c r="G32" s="1">
        <v>154217</v>
      </c>
      <c r="H32" s="1" t="s">
        <v>65</v>
      </c>
      <c r="I32" s="1" t="s">
        <v>66</v>
      </c>
      <c r="J32" s="1" t="s">
        <v>115</v>
      </c>
      <c r="L32" s="14" t="str">
        <f t="shared" si="0"/>
        <v>Normal</v>
      </c>
      <c r="M32" t="str">
        <f t="shared" si="1"/>
        <v>Salary Eligible</v>
      </c>
      <c r="N32" t="str">
        <f t="shared" si="2"/>
        <v>Auto-loan Eligible</v>
      </c>
      <c r="O32" t="str">
        <f t="shared" si="3"/>
        <v>Follow up</v>
      </c>
      <c r="P32" t="str">
        <f t="shared" si="4"/>
        <v>Non Loan Customer</v>
      </c>
    </row>
    <row r="33" spans="1:16" x14ac:dyDescent="0.35">
      <c r="A33" s="1">
        <v>7417</v>
      </c>
      <c r="B33" s="1" t="s">
        <v>71</v>
      </c>
      <c r="C33" s="1" t="s">
        <v>15</v>
      </c>
      <c r="D33" s="1" t="s">
        <v>20</v>
      </c>
      <c r="E33" s="1" t="s">
        <v>20</v>
      </c>
      <c r="F33" s="1">
        <v>383088</v>
      </c>
      <c r="G33" s="1">
        <v>27967</v>
      </c>
      <c r="H33" s="1" t="s">
        <v>65</v>
      </c>
      <c r="I33" s="1" t="s">
        <v>79</v>
      </c>
      <c r="J33" s="1" t="s">
        <v>116</v>
      </c>
      <c r="L33" s="14" t="str">
        <f t="shared" si="0"/>
        <v>premium</v>
      </c>
      <c r="M33" t="str">
        <f t="shared" si="1"/>
        <v>Not Eligible</v>
      </c>
      <c r="N33" t="str">
        <f t="shared" si="2"/>
        <v>Not Eligible</v>
      </c>
      <c r="O33" t="str">
        <f t="shared" si="3"/>
        <v>Do Not Contact</v>
      </c>
      <c r="P33" t="str">
        <f t="shared" si="4"/>
        <v>Non Loan Customer</v>
      </c>
    </row>
    <row r="34" spans="1:16" x14ac:dyDescent="0.35">
      <c r="A34" s="1">
        <v>7454</v>
      </c>
      <c r="B34" s="1" t="s">
        <v>4</v>
      </c>
      <c r="C34" s="1" t="s">
        <v>15</v>
      </c>
      <c r="D34" s="1" t="s">
        <v>72</v>
      </c>
      <c r="E34" s="1" t="s">
        <v>89</v>
      </c>
      <c r="F34" s="1">
        <v>368354</v>
      </c>
      <c r="G34" s="1">
        <v>14172</v>
      </c>
      <c r="H34" s="1" t="s">
        <v>65</v>
      </c>
      <c r="I34" s="1" t="s">
        <v>81</v>
      </c>
      <c r="J34" s="1" t="s">
        <v>117</v>
      </c>
      <c r="L34" s="14" t="str">
        <f t="shared" si="0"/>
        <v>premium</v>
      </c>
      <c r="M34" t="str">
        <f t="shared" si="1"/>
        <v>Not Eligible</v>
      </c>
      <c r="N34" t="str">
        <f t="shared" si="2"/>
        <v>Not Eligible</v>
      </c>
      <c r="O34" t="str">
        <f t="shared" si="3"/>
        <v>Follow up</v>
      </c>
      <c r="P34" t="str">
        <f t="shared" si="4"/>
        <v>Non Loan Customer</v>
      </c>
    </row>
    <row r="35" spans="1:16" x14ac:dyDescent="0.35">
      <c r="A35" s="1">
        <v>4680</v>
      </c>
      <c r="B35" s="1" t="s">
        <v>3</v>
      </c>
      <c r="C35" s="1" t="s">
        <v>15</v>
      </c>
      <c r="D35" s="1" t="s">
        <v>18</v>
      </c>
      <c r="E35" s="1" t="s">
        <v>20</v>
      </c>
      <c r="F35" s="1">
        <v>192070</v>
      </c>
      <c r="G35" s="1">
        <v>102433</v>
      </c>
      <c r="H35" s="1" t="s">
        <v>65</v>
      </c>
      <c r="I35" s="1" t="s">
        <v>79</v>
      </c>
      <c r="J35" s="1" t="s">
        <v>118</v>
      </c>
      <c r="L35" s="14" t="str">
        <f t="shared" si="0"/>
        <v>Normal</v>
      </c>
      <c r="M35" t="str">
        <f t="shared" si="1"/>
        <v>Salary Eligible</v>
      </c>
      <c r="N35" t="str">
        <f t="shared" si="2"/>
        <v>Auto-loan Eligible</v>
      </c>
      <c r="O35" t="str">
        <f t="shared" si="3"/>
        <v>Do Not Contact</v>
      </c>
      <c r="P35" t="str">
        <f t="shared" si="4"/>
        <v>Non Loan Customer</v>
      </c>
    </row>
    <row r="36" spans="1:16" x14ac:dyDescent="0.35">
      <c r="A36" s="1">
        <v>7063</v>
      </c>
      <c r="B36" s="1" t="s">
        <v>14</v>
      </c>
      <c r="C36" s="1" t="s">
        <v>15</v>
      </c>
      <c r="D36" s="1" t="s">
        <v>20</v>
      </c>
      <c r="E36" s="1" t="s">
        <v>89</v>
      </c>
      <c r="F36" s="1">
        <v>297265</v>
      </c>
      <c r="G36" s="1">
        <v>116351</v>
      </c>
      <c r="H36" s="1" t="s">
        <v>65</v>
      </c>
      <c r="I36" s="1" t="s">
        <v>66</v>
      </c>
      <c r="J36" s="1" t="s">
        <v>119</v>
      </c>
      <c r="L36" s="14" t="str">
        <f t="shared" si="0"/>
        <v>Normal</v>
      </c>
      <c r="M36" t="str">
        <f t="shared" si="1"/>
        <v>Salary Eligible</v>
      </c>
      <c r="N36" t="str">
        <f t="shared" si="2"/>
        <v>Auto-loan Eligible</v>
      </c>
      <c r="O36" t="str">
        <f t="shared" si="3"/>
        <v>Follow up</v>
      </c>
      <c r="P36" t="str">
        <f t="shared" si="4"/>
        <v>Non Loan Customer</v>
      </c>
    </row>
    <row r="37" spans="1:16" x14ac:dyDescent="0.35">
      <c r="A37" s="1">
        <v>4027</v>
      </c>
      <c r="B37" s="1" t="s">
        <v>105</v>
      </c>
      <c r="C37" s="1" t="s">
        <v>15</v>
      </c>
      <c r="D37" s="1" t="s">
        <v>18</v>
      </c>
      <c r="E37" s="1" t="s">
        <v>89</v>
      </c>
      <c r="F37" s="1">
        <v>781781</v>
      </c>
      <c r="G37" s="1">
        <v>97288</v>
      </c>
      <c r="H37" s="1" t="s">
        <v>69</v>
      </c>
      <c r="I37" s="1" t="s">
        <v>81</v>
      </c>
      <c r="J37" s="1" t="s">
        <v>120</v>
      </c>
      <c r="L37" s="14" t="str">
        <f t="shared" si="0"/>
        <v>premium</v>
      </c>
      <c r="M37" t="str">
        <f t="shared" si="1"/>
        <v>Salary Eligible</v>
      </c>
      <c r="N37" t="str">
        <f t="shared" si="2"/>
        <v>Auto-loan Eligible</v>
      </c>
      <c r="O37" t="str">
        <f t="shared" si="3"/>
        <v>Follow up</v>
      </c>
      <c r="P37" t="str">
        <f t="shared" si="4"/>
        <v>Loan Customer</v>
      </c>
    </row>
    <row r="38" spans="1:16" x14ac:dyDescent="0.35">
      <c r="A38" s="1">
        <v>6118</v>
      </c>
      <c r="B38" s="1" t="s">
        <v>94</v>
      </c>
      <c r="C38" s="1" t="s">
        <v>15</v>
      </c>
      <c r="D38" s="1" t="s">
        <v>89</v>
      </c>
      <c r="E38" s="1" t="s">
        <v>19</v>
      </c>
      <c r="F38" s="1">
        <v>405015</v>
      </c>
      <c r="G38" s="1">
        <v>120322</v>
      </c>
      <c r="H38" s="1" t="s">
        <v>65</v>
      </c>
      <c r="I38" s="1" t="s">
        <v>79</v>
      </c>
      <c r="J38" s="1" t="s">
        <v>121</v>
      </c>
      <c r="L38" s="14" t="str">
        <f t="shared" si="0"/>
        <v>premium</v>
      </c>
      <c r="M38" t="str">
        <f t="shared" si="1"/>
        <v>Salary Eligible</v>
      </c>
      <c r="N38" t="str">
        <f t="shared" si="2"/>
        <v>Auto-loan Eligible</v>
      </c>
      <c r="O38" t="str">
        <f t="shared" si="3"/>
        <v>Do Not Contact</v>
      </c>
      <c r="P38" t="str">
        <f t="shared" si="4"/>
        <v>Non Loan Customer</v>
      </c>
    </row>
    <row r="39" spans="1:16" x14ac:dyDescent="0.35">
      <c r="A39" s="1">
        <v>6275</v>
      </c>
      <c r="B39" s="1" t="s">
        <v>11</v>
      </c>
      <c r="C39" s="1" t="s">
        <v>17</v>
      </c>
      <c r="D39" s="1" t="s">
        <v>20</v>
      </c>
      <c r="E39" s="1" t="s">
        <v>72</v>
      </c>
      <c r="F39" s="1">
        <v>430667</v>
      </c>
      <c r="G39" s="1">
        <v>107684</v>
      </c>
      <c r="H39" s="1" t="s">
        <v>69</v>
      </c>
      <c r="I39" s="1" t="s">
        <v>66</v>
      </c>
      <c r="J39" s="1" t="s">
        <v>122</v>
      </c>
      <c r="L39" s="14" t="str">
        <f t="shared" si="0"/>
        <v>premium</v>
      </c>
      <c r="M39" t="str">
        <f t="shared" si="1"/>
        <v>Salary Eligible</v>
      </c>
      <c r="N39" t="str">
        <f t="shared" si="2"/>
        <v>Auto-loan Eligible</v>
      </c>
      <c r="O39" t="str">
        <f t="shared" si="3"/>
        <v>Follow up</v>
      </c>
      <c r="P39" t="str">
        <f t="shared" si="4"/>
        <v>Loan Customer</v>
      </c>
    </row>
    <row r="40" spans="1:16" x14ac:dyDescent="0.35">
      <c r="A40" s="1">
        <v>2959</v>
      </c>
      <c r="B40" s="1" t="s">
        <v>105</v>
      </c>
      <c r="C40" s="1" t="s">
        <v>16</v>
      </c>
      <c r="D40" s="1" t="s">
        <v>19</v>
      </c>
      <c r="E40" s="1" t="s">
        <v>18</v>
      </c>
      <c r="F40" s="1">
        <v>464821</v>
      </c>
      <c r="G40" s="1">
        <v>130875</v>
      </c>
      <c r="H40" s="1" t="s">
        <v>65</v>
      </c>
      <c r="I40" s="1" t="s">
        <v>79</v>
      </c>
      <c r="J40" s="1" t="s">
        <v>123</v>
      </c>
      <c r="L40" s="14" t="str">
        <f t="shared" si="0"/>
        <v>premium</v>
      </c>
      <c r="M40" t="str">
        <f t="shared" si="1"/>
        <v>Salary Eligible</v>
      </c>
      <c r="N40" t="str">
        <f t="shared" si="2"/>
        <v>Auto-loan Eligible</v>
      </c>
      <c r="O40" t="str">
        <f t="shared" si="3"/>
        <v>Do Not Contact</v>
      </c>
      <c r="P40" t="str">
        <f t="shared" si="4"/>
        <v>Non Loan Customer</v>
      </c>
    </row>
    <row r="41" spans="1:16" x14ac:dyDescent="0.35">
      <c r="A41" s="1">
        <v>9952</v>
      </c>
      <c r="B41" s="1" t="s">
        <v>6</v>
      </c>
      <c r="C41" s="1" t="s">
        <v>17</v>
      </c>
      <c r="D41" s="1" t="s">
        <v>64</v>
      </c>
      <c r="E41" s="1" t="s">
        <v>19</v>
      </c>
      <c r="F41" s="1">
        <v>316295</v>
      </c>
      <c r="G41" s="1">
        <v>194824</v>
      </c>
      <c r="H41" s="1" t="s">
        <v>69</v>
      </c>
      <c r="I41" s="1" t="s">
        <v>81</v>
      </c>
      <c r="J41" s="1" t="s">
        <v>124</v>
      </c>
      <c r="L41" s="14" t="str">
        <f t="shared" si="0"/>
        <v>premium</v>
      </c>
      <c r="M41" t="str">
        <f t="shared" si="1"/>
        <v>Salary Eligible</v>
      </c>
      <c r="N41" t="str">
        <f t="shared" si="2"/>
        <v>Auto-loan Eligible</v>
      </c>
      <c r="O41" t="str">
        <f t="shared" si="3"/>
        <v>Follow up</v>
      </c>
      <c r="P41" t="str">
        <f t="shared" si="4"/>
        <v>Loan Customer</v>
      </c>
    </row>
    <row r="42" spans="1:16" x14ac:dyDescent="0.35">
      <c r="A42" s="1">
        <v>4166</v>
      </c>
      <c r="B42" s="1" t="s">
        <v>96</v>
      </c>
      <c r="C42" s="1" t="s">
        <v>15</v>
      </c>
      <c r="D42" s="1" t="s">
        <v>20</v>
      </c>
      <c r="E42" s="1" t="s">
        <v>64</v>
      </c>
      <c r="F42" s="1">
        <v>809434</v>
      </c>
      <c r="G42" s="1">
        <v>41954</v>
      </c>
      <c r="H42" s="1" t="s">
        <v>65</v>
      </c>
      <c r="I42" s="1" t="s">
        <v>79</v>
      </c>
      <c r="J42" s="1" t="s">
        <v>125</v>
      </c>
      <c r="L42" s="14" t="str">
        <f t="shared" si="0"/>
        <v>premium</v>
      </c>
      <c r="M42" t="str">
        <f t="shared" si="1"/>
        <v>Not Eligible</v>
      </c>
      <c r="N42" t="str">
        <f t="shared" si="2"/>
        <v>Not Eligible</v>
      </c>
      <c r="O42" t="str">
        <f t="shared" si="3"/>
        <v>Do Not Contact</v>
      </c>
      <c r="P42" t="str">
        <f t="shared" si="4"/>
        <v>Non Loan Customer</v>
      </c>
    </row>
    <row r="43" spans="1:16" x14ac:dyDescent="0.35">
      <c r="A43" s="1">
        <v>3158</v>
      </c>
      <c r="B43" s="1" t="s">
        <v>96</v>
      </c>
      <c r="C43" s="1" t="s">
        <v>17</v>
      </c>
      <c r="D43" s="1" t="s">
        <v>89</v>
      </c>
      <c r="E43" s="1" t="s">
        <v>18</v>
      </c>
      <c r="F43" s="1">
        <v>106886</v>
      </c>
      <c r="G43" s="1">
        <v>163801</v>
      </c>
      <c r="H43" s="1" t="s">
        <v>65</v>
      </c>
      <c r="I43" s="1" t="s">
        <v>81</v>
      </c>
      <c r="J43" s="1" t="s">
        <v>126</v>
      </c>
      <c r="L43" s="14" t="str">
        <f t="shared" si="0"/>
        <v>Normal</v>
      </c>
      <c r="M43" t="str">
        <f t="shared" si="1"/>
        <v>Salary Eligible</v>
      </c>
      <c r="N43" t="str">
        <f t="shared" si="2"/>
        <v>Auto-loan Eligible</v>
      </c>
      <c r="O43" t="str">
        <f t="shared" si="3"/>
        <v>Follow up</v>
      </c>
      <c r="P43" t="str">
        <f t="shared" si="4"/>
        <v>Non Loan Customer</v>
      </c>
    </row>
    <row r="44" spans="1:16" x14ac:dyDescent="0.35">
      <c r="A44" s="1">
        <v>9065</v>
      </c>
      <c r="B44" s="1" t="s">
        <v>3</v>
      </c>
      <c r="C44" s="1" t="s">
        <v>16</v>
      </c>
      <c r="D44" s="1" t="s">
        <v>19</v>
      </c>
      <c r="E44" s="1" t="s">
        <v>19</v>
      </c>
      <c r="F44" s="1">
        <v>134292</v>
      </c>
      <c r="G44" s="1">
        <v>30906</v>
      </c>
      <c r="H44" s="1" t="s">
        <v>69</v>
      </c>
      <c r="I44" s="1" t="s">
        <v>66</v>
      </c>
      <c r="J44" s="1" t="s">
        <v>127</v>
      </c>
      <c r="L44" s="14" t="str">
        <f t="shared" si="0"/>
        <v>Normal</v>
      </c>
      <c r="M44" t="str">
        <f t="shared" si="1"/>
        <v>Not Eligible</v>
      </c>
      <c r="N44" t="str">
        <f t="shared" si="2"/>
        <v>Not Eligible</v>
      </c>
      <c r="O44" t="str">
        <f t="shared" si="3"/>
        <v>Follow up</v>
      </c>
      <c r="P44" t="str">
        <f t="shared" si="4"/>
        <v>Loan Customer</v>
      </c>
    </row>
    <row r="45" spans="1:16" x14ac:dyDescent="0.35">
      <c r="A45" s="1">
        <v>1880</v>
      </c>
      <c r="B45" s="1" t="s">
        <v>128</v>
      </c>
      <c r="C45" s="1" t="s">
        <v>17</v>
      </c>
      <c r="D45" s="1" t="s">
        <v>19</v>
      </c>
      <c r="E45" s="1" t="s">
        <v>18</v>
      </c>
      <c r="F45" s="1">
        <v>692450</v>
      </c>
      <c r="G45" s="1">
        <v>117141</v>
      </c>
      <c r="H45" s="1" t="s">
        <v>69</v>
      </c>
      <c r="I45" s="1" t="s">
        <v>79</v>
      </c>
      <c r="J45" s="1" t="s">
        <v>129</v>
      </c>
      <c r="L45" s="14" t="str">
        <f t="shared" si="0"/>
        <v>premium</v>
      </c>
      <c r="M45" t="str">
        <f t="shared" si="1"/>
        <v>Salary Eligible</v>
      </c>
      <c r="N45" t="str">
        <f t="shared" si="2"/>
        <v>Auto-loan Eligible</v>
      </c>
      <c r="O45" t="str">
        <f t="shared" si="3"/>
        <v>Do Not Contact</v>
      </c>
      <c r="P45" t="str">
        <f t="shared" si="4"/>
        <v>Loan Customer</v>
      </c>
    </row>
    <row r="46" spans="1:16" x14ac:dyDescent="0.35">
      <c r="A46" s="1">
        <v>7176</v>
      </c>
      <c r="B46" s="1" t="s">
        <v>11</v>
      </c>
      <c r="C46" s="1" t="s">
        <v>16</v>
      </c>
      <c r="D46" s="1" t="s">
        <v>19</v>
      </c>
      <c r="E46" s="1" t="s">
        <v>72</v>
      </c>
      <c r="F46" s="1">
        <v>457673</v>
      </c>
      <c r="G46" s="1">
        <v>123915</v>
      </c>
      <c r="H46" s="1" t="s">
        <v>65</v>
      </c>
      <c r="I46" s="1" t="s">
        <v>79</v>
      </c>
      <c r="J46" s="1" t="s">
        <v>130</v>
      </c>
      <c r="L46" s="14" t="str">
        <f t="shared" si="0"/>
        <v>premium</v>
      </c>
      <c r="M46" t="str">
        <f t="shared" si="1"/>
        <v>Salary Eligible</v>
      </c>
      <c r="N46" t="str">
        <f t="shared" si="2"/>
        <v>Auto-loan Eligible</v>
      </c>
      <c r="O46" t="str">
        <f t="shared" si="3"/>
        <v>Do Not Contact</v>
      </c>
      <c r="P46" t="str">
        <f t="shared" si="4"/>
        <v>Non Loan Customer</v>
      </c>
    </row>
    <row r="47" spans="1:16" x14ac:dyDescent="0.35">
      <c r="A47" s="1">
        <v>7895</v>
      </c>
      <c r="B47" s="1" t="s">
        <v>3</v>
      </c>
      <c r="C47" s="1" t="s">
        <v>16</v>
      </c>
      <c r="D47" s="1" t="s">
        <v>75</v>
      </c>
      <c r="E47" s="1" t="s">
        <v>72</v>
      </c>
      <c r="F47" s="1">
        <v>234677</v>
      </c>
      <c r="G47" s="1">
        <v>122453</v>
      </c>
      <c r="H47" s="1" t="s">
        <v>65</v>
      </c>
      <c r="I47" s="1" t="s">
        <v>81</v>
      </c>
      <c r="J47" s="1" t="s">
        <v>131</v>
      </c>
      <c r="L47" s="14" t="str">
        <f t="shared" si="0"/>
        <v>Normal</v>
      </c>
      <c r="M47" t="str">
        <f t="shared" si="1"/>
        <v>Salary Eligible</v>
      </c>
      <c r="N47" t="str">
        <f t="shared" si="2"/>
        <v>Auto-loan Eligible</v>
      </c>
      <c r="O47" t="str">
        <f t="shared" si="3"/>
        <v>Follow up</v>
      </c>
      <c r="P47" t="str">
        <f t="shared" si="4"/>
        <v>Non Loan Customer</v>
      </c>
    </row>
    <row r="48" spans="1:16" x14ac:dyDescent="0.35">
      <c r="A48" s="1">
        <v>7236</v>
      </c>
      <c r="B48" s="1" t="s">
        <v>128</v>
      </c>
      <c r="C48" s="1" t="s">
        <v>15</v>
      </c>
      <c r="D48" s="1" t="s">
        <v>19</v>
      </c>
      <c r="E48" s="1" t="s">
        <v>89</v>
      </c>
      <c r="F48" s="1">
        <v>722172</v>
      </c>
      <c r="G48" s="1">
        <v>55569</v>
      </c>
      <c r="H48" s="1" t="s">
        <v>65</v>
      </c>
      <c r="I48" s="1" t="s">
        <v>81</v>
      </c>
      <c r="J48" s="1" t="s">
        <v>132</v>
      </c>
      <c r="L48" s="14" t="str">
        <f t="shared" si="0"/>
        <v>premium</v>
      </c>
      <c r="M48" t="str">
        <f t="shared" si="1"/>
        <v>Salary Eligible</v>
      </c>
      <c r="N48" t="str">
        <f t="shared" si="2"/>
        <v>Not Eligible</v>
      </c>
      <c r="O48" t="str">
        <f t="shared" si="3"/>
        <v>Follow up</v>
      </c>
      <c r="P48" t="str">
        <f t="shared" si="4"/>
        <v>Non Loan Customer</v>
      </c>
    </row>
    <row r="49" spans="1:16" x14ac:dyDescent="0.35">
      <c r="A49" s="1">
        <v>1937</v>
      </c>
      <c r="B49" s="1" t="s">
        <v>96</v>
      </c>
      <c r="C49" s="1" t="s">
        <v>17</v>
      </c>
      <c r="D49" s="1" t="s">
        <v>20</v>
      </c>
      <c r="E49" s="1" t="s">
        <v>20</v>
      </c>
      <c r="F49" s="1">
        <v>621791</v>
      </c>
      <c r="G49" s="1">
        <v>188800</v>
      </c>
      <c r="H49" s="1" t="s">
        <v>69</v>
      </c>
      <c r="I49" s="1" t="s">
        <v>79</v>
      </c>
      <c r="J49" s="1" t="s">
        <v>133</v>
      </c>
      <c r="L49" s="14" t="str">
        <f t="shared" si="0"/>
        <v>premium</v>
      </c>
      <c r="M49" t="str">
        <f t="shared" si="1"/>
        <v>Salary Eligible</v>
      </c>
      <c r="N49" t="str">
        <f t="shared" si="2"/>
        <v>Auto-loan Eligible</v>
      </c>
      <c r="O49" t="str">
        <f t="shared" si="3"/>
        <v>Do Not Contact</v>
      </c>
      <c r="P49" t="str">
        <f t="shared" si="4"/>
        <v>Loan Customer</v>
      </c>
    </row>
    <row r="50" spans="1:16" x14ac:dyDescent="0.35">
      <c r="A50" s="1">
        <v>1953</v>
      </c>
      <c r="B50" s="1" t="s">
        <v>5</v>
      </c>
      <c r="C50" s="1" t="s">
        <v>15</v>
      </c>
      <c r="D50" s="1" t="s">
        <v>64</v>
      </c>
      <c r="E50" s="1" t="s">
        <v>75</v>
      </c>
      <c r="F50" s="1">
        <v>404474</v>
      </c>
      <c r="G50" s="1">
        <v>101328</v>
      </c>
      <c r="H50" s="1" t="s">
        <v>69</v>
      </c>
      <c r="I50" s="1" t="s">
        <v>79</v>
      </c>
      <c r="J50" s="1" t="s">
        <v>134</v>
      </c>
      <c r="L50" s="14" t="str">
        <f t="shared" si="0"/>
        <v>premium</v>
      </c>
      <c r="M50" t="str">
        <f t="shared" si="1"/>
        <v>Salary Eligible</v>
      </c>
      <c r="N50" t="str">
        <f t="shared" si="2"/>
        <v>Auto-loan Eligible</v>
      </c>
      <c r="O50" t="str">
        <f t="shared" si="3"/>
        <v>Do Not Contact</v>
      </c>
      <c r="P50" t="str">
        <f t="shared" si="4"/>
        <v>Loan Customer</v>
      </c>
    </row>
    <row r="51" spans="1:16" x14ac:dyDescent="0.35">
      <c r="A51" s="1">
        <v>5081</v>
      </c>
      <c r="B51" s="1" t="s">
        <v>102</v>
      </c>
      <c r="C51" s="1" t="s">
        <v>17</v>
      </c>
      <c r="D51" s="1" t="s">
        <v>19</v>
      </c>
      <c r="E51" s="1" t="s">
        <v>72</v>
      </c>
      <c r="F51" s="1">
        <v>856082</v>
      </c>
      <c r="G51" s="1">
        <v>77950</v>
      </c>
      <c r="H51" s="1" t="s">
        <v>69</v>
      </c>
      <c r="I51" s="1" t="s">
        <v>66</v>
      </c>
      <c r="J51" s="1" t="s">
        <v>135</v>
      </c>
      <c r="L51" s="14" t="str">
        <f t="shared" si="0"/>
        <v>premium</v>
      </c>
      <c r="M51" t="str">
        <f t="shared" si="1"/>
        <v>Salary Eligible</v>
      </c>
      <c r="N51" t="str">
        <f t="shared" si="2"/>
        <v>Auto-loan Eligible</v>
      </c>
      <c r="O51" t="str">
        <f t="shared" si="3"/>
        <v>Follow up</v>
      </c>
      <c r="P51" t="str">
        <f t="shared" si="4"/>
        <v>Loan Customer</v>
      </c>
    </row>
    <row r="52" spans="1:16" x14ac:dyDescent="0.35">
      <c r="A52" s="1">
        <v>1267</v>
      </c>
      <c r="B52" s="1" t="s">
        <v>3</v>
      </c>
      <c r="C52" s="1" t="s">
        <v>16</v>
      </c>
      <c r="D52" s="1" t="s">
        <v>64</v>
      </c>
      <c r="E52" s="1" t="s">
        <v>20</v>
      </c>
      <c r="F52" s="1">
        <v>616383</v>
      </c>
      <c r="G52" s="1">
        <v>28382</v>
      </c>
      <c r="H52" s="1" t="s">
        <v>65</v>
      </c>
      <c r="I52" s="1" t="s">
        <v>81</v>
      </c>
      <c r="J52" s="1" t="s">
        <v>136</v>
      </c>
      <c r="L52" s="14" t="str">
        <f t="shared" si="0"/>
        <v>premium</v>
      </c>
      <c r="M52" t="str">
        <f t="shared" si="1"/>
        <v>Not Eligible</v>
      </c>
      <c r="N52" t="str">
        <f t="shared" si="2"/>
        <v>Not Eligible</v>
      </c>
      <c r="O52" t="str">
        <f t="shared" si="3"/>
        <v>Follow up</v>
      </c>
      <c r="P52" t="str">
        <f t="shared" si="4"/>
        <v>Non Loan Customer</v>
      </c>
    </row>
    <row r="53" spans="1:16" x14ac:dyDescent="0.35">
      <c r="A53" s="1">
        <v>7498</v>
      </c>
      <c r="B53" s="1" t="s">
        <v>108</v>
      </c>
      <c r="C53" s="1" t="s">
        <v>17</v>
      </c>
      <c r="D53" s="1" t="s">
        <v>20</v>
      </c>
      <c r="E53" s="1" t="s">
        <v>72</v>
      </c>
      <c r="F53" s="1">
        <v>797144</v>
      </c>
      <c r="G53" s="1">
        <v>46730</v>
      </c>
      <c r="H53" s="1" t="s">
        <v>65</v>
      </c>
      <c r="I53" s="1" t="s">
        <v>81</v>
      </c>
      <c r="J53" s="1" t="s">
        <v>137</v>
      </c>
      <c r="L53" s="14" t="str">
        <f t="shared" si="0"/>
        <v>premium</v>
      </c>
      <c r="M53" t="str">
        <f t="shared" si="1"/>
        <v>Not Eligible</v>
      </c>
      <c r="N53" t="str">
        <f t="shared" si="2"/>
        <v>Not Eligible</v>
      </c>
      <c r="O53" t="str">
        <f t="shared" si="3"/>
        <v>Follow up</v>
      </c>
      <c r="P53" t="str">
        <f t="shared" si="4"/>
        <v>Non Loan Customer</v>
      </c>
    </row>
    <row r="54" spans="1:16" x14ac:dyDescent="0.35">
      <c r="A54" s="1">
        <v>3547</v>
      </c>
      <c r="B54" s="1" t="s">
        <v>11</v>
      </c>
      <c r="C54" s="1" t="s">
        <v>15</v>
      </c>
      <c r="D54" s="1" t="s">
        <v>20</v>
      </c>
      <c r="E54" s="1" t="s">
        <v>20</v>
      </c>
      <c r="F54" s="1">
        <v>198225</v>
      </c>
      <c r="G54" s="1">
        <v>124313</v>
      </c>
      <c r="H54" s="1" t="s">
        <v>69</v>
      </c>
      <c r="I54" s="1" t="s">
        <v>81</v>
      </c>
      <c r="J54" s="1" t="s">
        <v>138</v>
      </c>
      <c r="L54" s="14" t="str">
        <f t="shared" si="0"/>
        <v>Normal</v>
      </c>
      <c r="M54" t="str">
        <f t="shared" si="1"/>
        <v>Salary Eligible</v>
      </c>
      <c r="N54" t="str">
        <f t="shared" si="2"/>
        <v>Auto-loan Eligible</v>
      </c>
      <c r="O54" t="str">
        <f t="shared" si="3"/>
        <v>Follow up</v>
      </c>
      <c r="P54" t="str">
        <f t="shared" si="4"/>
        <v>Loan Customer</v>
      </c>
    </row>
    <row r="55" spans="1:16" x14ac:dyDescent="0.35">
      <c r="A55" s="1">
        <v>6551</v>
      </c>
      <c r="B55" s="1" t="s">
        <v>99</v>
      </c>
      <c r="C55" s="1" t="s">
        <v>15</v>
      </c>
      <c r="D55" s="1" t="s">
        <v>89</v>
      </c>
      <c r="E55" s="1" t="s">
        <v>20</v>
      </c>
      <c r="F55" s="1">
        <v>223648</v>
      </c>
      <c r="G55" s="1">
        <v>71172</v>
      </c>
      <c r="H55" s="1" t="s">
        <v>69</v>
      </c>
      <c r="I55" s="1" t="s">
        <v>79</v>
      </c>
      <c r="J55" s="1" t="s">
        <v>139</v>
      </c>
      <c r="L55" s="14" t="str">
        <f t="shared" si="0"/>
        <v>Normal</v>
      </c>
      <c r="M55" t="str">
        <f t="shared" si="1"/>
        <v>Salary Eligible</v>
      </c>
      <c r="N55" t="str">
        <f t="shared" si="2"/>
        <v>Not Eligible</v>
      </c>
      <c r="O55" t="str">
        <f t="shared" si="3"/>
        <v>Do Not Contact</v>
      </c>
      <c r="P55" t="str">
        <f t="shared" si="4"/>
        <v>Loan Customer</v>
      </c>
    </row>
    <row r="56" spans="1:16" x14ac:dyDescent="0.35">
      <c r="A56" s="1">
        <v>9444</v>
      </c>
      <c r="B56" s="1" t="s">
        <v>2</v>
      </c>
      <c r="C56" s="1" t="s">
        <v>17</v>
      </c>
      <c r="D56" s="1" t="s">
        <v>20</v>
      </c>
      <c r="E56" s="1" t="s">
        <v>18</v>
      </c>
      <c r="F56" s="1">
        <v>764809</v>
      </c>
      <c r="G56" s="1">
        <v>155594</v>
      </c>
      <c r="H56" s="1" t="s">
        <v>69</v>
      </c>
      <c r="I56" s="1" t="s">
        <v>81</v>
      </c>
      <c r="J56" s="1" t="s">
        <v>140</v>
      </c>
      <c r="L56" s="14" t="str">
        <f t="shared" si="0"/>
        <v>premium</v>
      </c>
      <c r="M56" t="str">
        <f t="shared" si="1"/>
        <v>Salary Eligible</v>
      </c>
      <c r="N56" t="str">
        <f t="shared" si="2"/>
        <v>Auto-loan Eligible</v>
      </c>
      <c r="O56" t="str">
        <f t="shared" si="3"/>
        <v>Follow up</v>
      </c>
      <c r="P56" t="str">
        <f t="shared" si="4"/>
        <v>Loan Customer</v>
      </c>
    </row>
    <row r="57" spans="1:16" x14ac:dyDescent="0.35">
      <c r="A57" s="1">
        <v>5565</v>
      </c>
      <c r="B57" s="1" t="s">
        <v>141</v>
      </c>
      <c r="C57" s="1" t="s">
        <v>15</v>
      </c>
      <c r="D57" s="1" t="s">
        <v>75</v>
      </c>
      <c r="E57" s="1" t="s">
        <v>20</v>
      </c>
      <c r="F57" s="1">
        <v>555248</v>
      </c>
      <c r="G57" s="1">
        <v>87919</v>
      </c>
      <c r="H57" s="1" t="s">
        <v>65</v>
      </c>
      <c r="I57" s="1" t="s">
        <v>81</v>
      </c>
      <c r="J57" s="1" t="s">
        <v>142</v>
      </c>
      <c r="L57" s="14" t="str">
        <f t="shared" si="0"/>
        <v>premium</v>
      </c>
      <c r="M57" t="str">
        <f t="shared" si="1"/>
        <v>Salary Eligible</v>
      </c>
      <c r="N57" t="str">
        <f t="shared" si="2"/>
        <v>Auto-loan Eligible</v>
      </c>
      <c r="O57" t="str">
        <f t="shared" si="3"/>
        <v>Follow up</v>
      </c>
      <c r="P57" t="str">
        <f t="shared" si="4"/>
        <v>Non Loan Customer</v>
      </c>
    </row>
    <row r="58" spans="1:16" x14ac:dyDescent="0.35">
      <c r="A58" s="1">
        <v>1777</v>
      </c>
      <c r="B58" s="1" t="s">
        <v>114</v>
      </c>
      <c r="C58" s="1" t="s">
        <v>15</v>
      </c>
      <c r="D58" s="1" t="s">
        <v>72</v>
      </c>
      <c r="E58" s="1" t="s">
        <v>75</v>
      </c>
      <c r="F58" s="1">
        <v>583503</v>
      </c>
      <c r="G58" s="1">
        <v>138260</v>
      </c>
      <c r="H58" s="1" t="s">
        <v>65</v>
      </c>
      <c r="I58" s="1" t="s">
        <v>79</v>
      </c>
      <c r="J58" s="1" t="s">
        <v>143</v>
      </c>
      <c r="L58" s="14" t="str">
        <f t="shared" si="0"/>
        <v>premium</v>
      </c>
      <c r="M58" t="str">
        <f t="shared" si="1"/>
        <v>Salary Eligible</v>
      </c>
      <c r="N58" t="str">
        <f t="shared" si="2"/>
        <v>Auto-loan Eligible</v>
      </c>
      <c r="O58" t="str">
        <f t="shared" si="3"/>
        <v>Do Not Contact</v>
      </c>
      <c r="P58" t="str">
        <f t="shared" si="4"/>
        <v>Non Loan Customer</v>
      </c>
    </row>
    <row r="59" spans="1:16" x14ac:dyDescent="0.35">
      <c r="A59" s="1">
        <v>5668</v>
      </c>
      <c r="B59" s="1" t="s">
        <v>96</v>
      </c>
      <c r="C59" s="1" t="s">
        <v>16</v>
      </c>
      <c r="D59" s="1" t="s">
        <v>72</v>
      </c>
      <c r="E59" s="1" t="s">
        <v>75</v>
      </c>
      <c r="F59" s="1">
        <v>559582</v>
      </c>
      <c r="G59" s="1">
        <v>175495</v>
      </c>
      <c r="H59" s="1" t="s">
        <v>69</v>
      </c>
      <c r="I59" s="1" t="s">
        <v>79</v>
      </c>
      <c r="J59" s="1" t="s">
        <v>144</v>
      </c>
      <c r="L59" s="14" t="str">
        <f t="shared" si="0"/>
        <v>premium</v>
      </c>
      <c r="M59" t="str">
        <f t="shared" si="1"/>
        <v>Salary Eligible</v>
      </c>
      <c r="N59" t="str">
        <f t="shared" si="2"/>
        <v>Auto-loan Eligible</v>
      </c>
      <c r="O59" t="str">
        <f t="shared" si="3"/>
        <v>Do Not Contact</v>
      </c>
      <c r="P59" t="str">
        <f t="shared" si="4"/>
        <v>Loan Customer</v>
      </c>
    </row>
    <row r="60" spans="1:16" x14ac:dyDescent="0.35">
      <c r="A60" s="1">
        <v>7238</v>
      </c>
      <c r="B60" s="1" t="s">
        <v>114</v>
      </c>
      <c r="C60" s="1" t="s">
        <v>17</v>
      </c>
      <c r="D60" s="1" t="s">
        <v>89</v>
      </c>
      <c r="E60" s="1" t="s">
        <v>18</v>
      </c>
      <c r="F60" s="1">
        <v>624134</v>
      </c>
      <c r="G60" s="1">
        <v>141490</v>
      </c>
      <c r="H60" s="1" t="s">
        <v>65</v>
      </c>
      <c r="I60" s="1" t="s">
        <v>66</v>
      </c>
      <c r="J60" s="1" t="s">
        <v>145</v>
      </c>
      <c r="L60" s="14" t="str">
        <f t="shared" si="0"/>
        <v>premium</v>
      </c>
      <c r="M60" t="str">
        <f t="shared" si="1"/>
        <v>Salary Eligible</v>
      </c>
      <c r="N60" t="str">
        <f t="shared" si="2"/>
        <v>Auto-loan Eligible</v>
      </c>
      <c r="O60" t="str">
        <f t="shared" si="3"/>
        <v>Follow up</v>
      </c>
      <c r="P60" t="str">
        <f t="shared" si="4"/>
        <v>Non Loan Customer</v>
      </c>
    </row>
    <row r="61" spans="1:16" x14ac:dyDescent="0.35">
      <c r="A61" s="1">
        <v>6010</v>
      </c>
      <c r="B61" s="1" t="s">
        <v>3</v>
      </c>
      <c r="C61" s="1" t="s">
        <v>17</v>
      </c>
      <c r="D61" s="1" t="s">
        <v>89</v>
      </c>
      <c r="E61" s="1" t="s">
        <v>75</v>
      </c>
      <c r="F61" s="1">
        <v>394374</v>
      </c>
      <c r="G61" s="1">
        <v>185278</v>
      </c>
      <c r="H61" s="1" t="s">
        <v>69</v>
      </c>
      <c r="I61" s="1" t="s">
        <v>66</v>
      </c>
      <c r="J61" s="1" t="s">
        <v>146</v>
      </c>
      <c r="L61" s="14" t="str">
        <f t="shared" si="0"/>
        <v>premium</v>
      </c>
      <c r="M61" t="str">
        <f t="shared" si="1"/>
        <v>Salary Eligible</v>
      </c>
      <c r="N61" t="str">
        <f t="shared" si="2"/>
        <v>Auto-loan Eligible</v>
      </c>
      <c r="O61" t="str">
        <f t="shared" si="3"/>
        <v>Follow up</v>
      </c>
      <c r="P61" t="str">
        <f t="shared" si="4"/>
        <v>Loan Customer</v>
      </c>
    </row>
    <row r="62" spans="1:16" x14ac:dyDescent="0.35">
      <c r="A62" s="1">
        <v>7580</v>
      </c>
      <c r="B62" s="1" t="s">
        <v>4</v>
      </c>
      <c r="C62" s="1" t="s">
        <v>17</v>
      </c>
      <c r="D62" s="1" t="s">
        <v>20</v>
      </c>
      <c r="E62" s="1" t="s">
        <v>19</v>
      </c>
      <c r="F62" s="1">
        <v>36937</v>
      </c>
      <c r="G62" s="1">
        <v>191087</v>
      </c>
      <c r="H62" s="1" t="s">
        <v>69</v>
      </c>
      <c r="I62" s="1" t="s">
        <v>66</v>
      </c>
      <c r="J62" s="1" t="s">
        <v>147</v>
      </c>
      <c r="L62" s="14" t="str">
        <f t="shared" si="0"/>
        <v>Normal</v>
      </c>
      <c r="M62" t="str">
        <f t="shared" si="1"/>
        <v>Salary Eligible</v>
      </c>
      <c r="N62" t="str">
        <f t="shared" si="2"/>
        <v>Not Eligible</v>
      </c>
      <c r="O62" t="str">
        <f t="shared" si="3"/>
        <v>Follow up</v>
      </c>
      <c r="P62" t="str">
        <f t="shared" si="4"/>
        <v>Loan Customer</v>
      </c>
    </row>
    <row r="63" spans="1:16" x14ac:dyDescent="0.35">
      <c r="A63" s="1">
        <v>5991</v>
      </c>
      <c r="B63" s="1" t="s">
        <v>63</v>
      </c>
      <c r="C63" s="1" t="s">
        <v>17</v>
      </c>
      <c r="D63" s="1" t="s">
        <v>75</v>
      </c>
      <c r="E63" s="1" t="s">
        <v>89</v>
      </c>
      <c r="F63" s="1">
        <v>235954</v>
      </c>
      <c r="G63" s="1">
        <v>158163</v>
      </c>
      <c r="H63" s="1" t="s">
        <v>69</v>
      </c>
      <c r="I63" s="1" t="s">
        <v>81</v>
      </c>
      <c r="J63" s="1" t="s">
        <v>148</v>
      </c>
      <c r="L63" s="14" t="str">
        <f t="shared" si="0"/>
        <v>Normal</v>
      </c>
      <c r="M63" t="str">
        <f t="shared" si="1"/>
        <v>Salary Eligible</v>
      </c>
      <c r="N63" t="str">
        <f t="shared" si="2"/>
        <v>Auto-loan Eligible</v>
      </c>
      <c r="O63" t="str">
        <f t="shared" si="3"/>
        <v>Follow up</v>
      </c>
      <c r="P63" t="str">
        <f t="shared" si="4"/>
        <v>Loan Customer</v>
      </c>
    </row>
    <row r="64" spans="1:16" x14ac:dyDescent="0.35">
      <c r="A64" s="1">
        <v>7740</v>
      </c>
      <c r="B64" s="1" t="s">
        <v>71</v>
      </c>
      <c r="C64" s="1" t="s">
        <v>15</v>
      </c>
      <c r="D64" s="1" t="s">
        <v>18</v>
      </c>
      <c r="E64" s="1" t="s">
        <v>64</v>
      </c>
      <c r="F64" s="1">
        <v>854850</v>
      </c>
      <c r="G64" s="1">
        <v>90842</v>
      </c>
      <c r="H64" s="1" t="s">
        <v>69</v>
      </c>
      <c r="I64" s="1" t="s">
        <v>66</v>
      </c>
      <c r="J64" s="1" t="s">
        <v>149</v>
      </c>
      <c r="L64" s="14" t="str">
        <f t="shared" si="0"/>
        <v>premium</v>
      </c>
      <c r="M64" t="str">
        <f t="shared" si="1"/>
        <v>Salary Eligible</v>
      </c>
      <c r="N64" t="str">
        <f t="shared" si="2"/>
        <v>Auto-loan Eligible</v>
      </c>
      <c r="O64" t="str">
        <f t="shared" si="3"/>
        <v>Follow up</v>
      </c>
      <c r="P64" t="str">
        <f t="shared" si="4"/>
        <v>Loan Customer</v>
      </c>
    </row>
    <row r="65" spans="1:16" x14ac:dyDescent="0.35">
      <c r="A65" s="1">
        <v>7164</v>
      </c>
      <c r="B65" s="1" t="s">
        <v>9</v>
      </c>
      <c r="C65" s="1" t="s">
        <v>16</v>
      </c>
      <c r="D65" s="1" t="s">
        <v>89</v>
      </c>
      <c r="E65" s="1" t="s">
        <v>18</v>
      </c>
      <c r="F65" s="1">
        <v>713057</v>
      </c>
      <c r="G65" s="1">
        <v>55242</v>
      </c>
      <c r="H65" s="1" t="s">
        <v>65</v>
      </c>
      <c r="I65" s="1" t="s">
        <v>81</v>
      </c>
      <c r="J65" s="1" t="s">
        <v>150</v>
      </c>
      <c r="L65" s="14" t="str">
        <f t="shared" si="0"/>
        <v>premium</v>
      </c>
      <c r="M65" t="str">
        <f t="shared" si="1"/>
        <v>Salary Eligible</v>
      </c>
      <c r="N65" t="str">
        <f t="shared" si="2"/>
        <v>Not Eligible</v>
      </c>
      <c r="O65" t="str">
        <f t="shared" si="3"/>
        <v>Follow up</v>
      </c>
      <c r="P65" t="str">
        <f t="shared" si="4"/>
        <v>Non Loan Customer</v>
      </c>
    </row>
    <row r="66" spans="1:16" x14ac:dyDescent="0.35">
      <c r="A66" s="1">
        <v>8608</v>
      </c>
      <c r="B66" s="1" t="s">
        <v>151</v>
      </c>
      <c r="C66" s="1" t="s">
        <v>16</v>
      </c>
      <c r="D66" s="1" t="s">
        <v>64</v>
      </c>
      <c r="E66" s="1" t="s">
        <v>72</v>
      </c>
      <c r="F66" s="1">
        <v>352032</v>
      </c>
      <c r="G66" s="1">
        <v>11667</v>
      </c>
      <c r="H66" s="1" t="s">
        <v>69</v>
      </c>
      <c r="I66" s="1" t="s">
        <v>79</v>
      </c>
      <c r="J66" s="1" t="s">
        <v>152</v>
      </c>
      <c r="L66" s="14" t="str">
        <f t="shared" si="0"/>
        <v>premium</v>
      </c>
      <c r="M66" t="str">
        <f t="shared" si="1"/>
        <v>Not Eligible</v>
      </c>
      <c r="N66" t="str">
        <f t="shared" si="2"/>
        <v>Not Eligible</v>
      </c>
      <c r="O66" t="str">
        <f t="shared" si="3"/>
        <v>Do Not Contact</v>
      </c>
      <c r="P66" t="str">
        <f t="shared" si="4"/>
        <v>Loan Customer</v>
      </c>
    </row>
    <row r="67" spans="1:16" x14ac:dyDescent="0.35">
      <c r="A67" s="1">
        <v>1573</v>
      </c>
      <c r="B67" s="1" t="s">
        <v>63</v>
      </c>
      <c r="C67" s="1" t="s">
        <v>16</v>
      </c>
      <c r="D67" s="1" t="s">
        <v>89</v>
      </c>
      <c r="E67" s="1" t="s">
        <v>19</v>
      </c>
      <c r="F67" s="1">
        <v>212562</v>
      </c>
      <c r="G67" s="1">
        <v>68235</v>
      </c>
      <c r="H67" s="1" t="s">
        <v>65</v>
      </c>
      <c r="I67" s="1" t="s">
        <v>79</v>
      </c>
      <c r="J67" s="1" t="s">
        <v>153</v>
      </c>
      <c r="L67" s="14" t="str">
        <f t="shared" ref="L67:L130" si="5">IF(F67&gt;300000,"premium","Normal")</f>
        <v>Normal</v>
      </c>
      <c r="M67" t="str">
        <f t="shared" ref="M67:M130" si="6">IF(G67&gt;50000,"Salary Eligible","Not Eligible")</f>
        <v>Salary Eligible</v>
      </c>
      <c r="N67" t="str">
        <f t="shared" ref="N67:N130" si="7">IF(AND(G67&gt;75000,F67&gt;100000),"Auto-loan Eligible","Not Eligible")</f>
        <v>Not Eligible</v>
      </c>
      <c r="O67" t="str">
        <f t="shared" ref="O67:O130" si="8">IF(I67="Closed","Do Not Contact","Follow up")</f>
        <v>Do Not Contact</v>
      </c>
      <c r="P67" t="str">
        <f t="shared" ref="P67:P130" si="9">IF(H67="yes","Loan Customer","Non Loan Customer")</f>
        <v>Non Loan Customer</v>
      </c>
    </row>
    <row r="68" spans="1:16" x14ac:dyDescent="0.35">
      <c r="A68" s="1">
        <v>2885</v>
      </c>
      <c r="B68" s="1" t="s">
        <v>63</v>
      </c>
      <c r="C68" s="1" t="s">
        <v>17</v>
      </c>
      <c r="D68" s="1" t="s">
        <v>18</v>
      </c>
      <c r="E68" s="1" t="s">
        <v>75</v>
      </c>
      <c r="F68" s="1">
        <v>269547</v>
      </c>
      <c r="G68" s="1">
        <v>121452</v>
      </c>
      <c r="H68" s="1" t="s">
        <v>69</v>
      </c>
      <c r="I68" s="1" t="s">
        <v>79</v>
      </c>
      <c r="J68" s="1" t="s">
        <v>154</v>
      </c>
      <c r="L68" s="14" t="str">
        <f t="shared" si="5"/>
        <v>Normal</v>
      </c>
      <c r="M68" t="str">
        <f t="shared" si="6"/>
        <v>Salary Eligible</v>
      </c>
      <c r="N68" t="str">
        <f t="shared" si="7"/>
        <v>Auto-loan Eligible</v>
      </c>
      <c r="O68" t="str">
        <f t="shared" si="8"/>
        <v>Do Not Contact</v>
      </c>
      <c r="P68" t="str">
        <f t="shared" si="9"/>
        <v>Loan Customer</v>
      </c>
    </row>
    <row r="69" spans="1:16" x14ac:dyDescent="0.35">
      <c r="A69" s="1">
        <v>6164</v>
      </c>
      <c r="B69" s="1" t="s">
        <v>8</v>
      </c>
      <c r="C69" s="1" t="s">
        <v>16</v>
      </c>
      <c r="D69" s="1" t="s">
        <v>19</v>
      </c>
      <c r="E69" s="1" t="s">
        <v>72</v>
      </c>
      <c r="F69" s="1">
        <v>884343</v>
      </c>
      <c r="G69" s="1">
        <v>26553</v>
      </c>
      <c r="H69" s="1" t="s">
        <v>65</v>
      </c>
      <c r="I69" s="1" t="s">
        <v>66</v>
      </c>
      <c r="J69" s="1" t="s">
        <v>155</v>
      </c>
      <c r="L69" s="14" t="str">
        <f t="shared" si="5"/>
        <v>premium</v>
      </c>
      <c r="M69" t="str">
        <f t="shared" si="6"/>
        <v>Not Eligible</v>
      </c>
      <c r="N69" t="str">
        <f t="shared" si="7"/>
        <v>Not Eligible</v>
      </c>
      <c r="O69" t="str">
        <f t="shared" si="8"/>
        <v>Follow up</v>
      </c>
      <c r="P69" t="str">
        <f t="shared" si="9"/>
        <v>Non Loan Customer</v>
      </c>
    </row>
    <row r="70" spans="1:16" x14ac:dyDescent="0.35">
      <c r="A70" s="1">
        <v>8147</v>
      </c>
      <c r="B70" s="1" t="s">
        <v>4</v>
      </c>
      <c r="C70" s="1" t="s">
        <v>15</v>
      </c>
      <c r="D70" s="1" t="s">
        <v>64</v>
      </c>
      <c r="E70" s="1" t="s">
        <v>18</v>
      </c>
      <c r="F70" s="1">
        <v>51845</v>
      </c>
      <c r="G70" s="1">
        <v>138072</v>
      </c>
      <c r="H70" s="1" t="s">
        <v>69</v>
      </c>
      <c r="I70" s="1" t="s">
        <v>81</v>
      </c>
      <c r="J70" s="1" t="s">
        <v>156</v>
      </c>
      <c r="L70" s="14" t="str">
        <f t="shared" si="5"/>
        <v>Normal</v>
      </c>
      <c r="M70" t="str">
        <f t="shared" si="6"/>
        <v>Salary Eligible</v>
      </c>
      <c r="N70" t="str">
        <f t="shared" si="7"/>
        <v>Not Eligible</v>
      </c>
      <c r="O70" t="str">
        <f t="shared" si="8"/>
        <v>Follow up</v>
      </c>
      <c r="P70" t="str">
        <f t="shared" si="9"/>
        <v>Loan Customer</v>
      </c>
    </row>
    <row r="71" spans="1:16" x14ac:dyDescent="0.35">
      <c r="A71" s="1">
        <v>9713</v>
      </c>
      <c r="B71" s="1" t="s">
        <v>92</v>
      </c>
      <c r="C71" s="1" t="s">
        <v>16</v>
      </c>
      <c r="D71" s="1" t="s">
        <v>89</v>
      </c>
      <c r="E71" s="1" t="s">
        <v>20</v>
      </c>
      <c r="F71" s="1">
        <v>367426</v>
      </c>
      <c r="G71" s="1">
        <v>117758</v>
      </c>
      <c r="H71" s="1" t="s">
        <v>65</v>
      </c>
      <c r="I71" s="1" t="s">
        <v>66</v>
      </c>
      <c r="J71" s="1" t="s">
        <v>157</v>
      </c>
      <c r="L71" s="14" t="str">
        <f t="shared" si="5"/>
        <v>premium</v>
      </c>
      <c r="M71" t="str">
        <f t="shared" si="6"/>
        <v>Salary Eligible</v>
      </c>
      <c r="N71" t="str">
        <f t="shared" si="7"/>
        <v>Auto-loan Eligible</v>
      </c>
      <c r="O71" t="str">
        <f t="shared" si="8"/>
        <v>Follow up</v>
      </c>
      <c r="P71" t="str">
        <f t="shared" si="9"/>
        <v>Non Loan Customer</v>
      </c>
    </row>
    <row r="72" spans="1:16" x14ac:dyDescent="0.35">
      <c r="A72" s="1">
        <v>9032</v>
      </c>
      <c r="B72" s="1" t="s">
        <v>14</v>
      </c>
      <c r="C72" s="1" t="s">
        <v>15</v>
      </c>
      <c r="D72" s="1" t="s">
        <v>89</v>
      </c>
      <c r="E72" s="1" t="s">
        <v>75</v>
      </c>
      <c r="F72" s="1">
        <v>335809</v>
      </c>
      <c r="G72" s="1">
        <v>80860</v>
      </c>
      <c r="H72" s="1" t="s">
        <v>69</v>
      </c>
      <c r="I72" s="1" t="s">
        <v>79</v>
      </c>
      <c r="J72" s="1" t="s">
        <v>158</v>
      </c>
      <c r="L72" s="14" t="str">
        <f t="shared" si="5"/>
        <v>premium</v>
      </c>
      <c r="M72" t="str">
        <f t="shared" si="6"/>
        <v>Salary Eligible</v>
      </c>
      <c r="N72" t="str">
        <f t="shared" si="7"/>
        <v>Auto-loan Eligible</v>
      </c>
      <c r="O72" t="str">
        <f t="shared" si="8"/>
        <v>Do Not Contact</v>
      </c>
      <c r="P72" t="str">
        <f t="shared" si="9"/>
        <v>Loan Customer</v>
      </c>
    </row>
    <row r="73" spans="1:16" x14ac:dyDescent="0.35">
      <c r="A73" s="1">
        <v>3023</v>
      </c>
      <c r="B73" s="1" t="s">
        <v>108</v>
      </c>
      <c r="C73" s="1" t="s">
        <v>15</v>
      </c>
      <c r="D73" s="1" t="s">
        <v>19</v>
      </c>
      <c r="E73" s="1" t="s">
        <v>18</v>
      </c>
      <c r="F73" s="1">
        <v>378512</v>
      </c>
      <c r="G73" s="1">
        <v>59836</v>
      </c>
      <c r="H73" s="1" t="s">
        <v>65</v>
      </c>
      <c r="I73" s="1" t="s">
        <v>81</v>
      </c>
      <c r="J73" s="1" t="s">
        <v>159</v>
      </c>
      <c r="L73" s="14" t="str">
        <f t="shared" si="5"/>
        <v>premium</v>
      </c>
      <c r="M73" t="str">
        <f t="shared" si="6"/>
        <v>Salary Eligible</v>
      </c>
      <c r="N73" t="str">
        <f t="shared" si="7"/>
        <v>Not Eligible</v>
      </c>
      <c r="O73" t="str">
        <f t="shared" si="8"/>
        <v>Follow up</v>
      </c>
      <c r="P73" t="str">
        <f t="shared" si="9"/>
        <v>Non Loan Customer</v>
      </c>
    </row>
    <row r="74" spans="1:16" x14ac:dyDescent="0.35">
      <c r="A74" s="1">
        <v>8194</v>
      </c>
      <c r="B74" s="1" t="s">
        <v>7</v>
      </c>
      <c r="C74" s="1" t="s">
        <v>15</v>
      </c>
      <c r="D74" s="1" t="s">
        <v>89</v>
      </c>
      <c r="E74" s="1" t="s">
        <v>72</v>
      </c>
      <c r="F74" s="1">
        <v>242593</v>
      </c>
      <c r="G74" s="1">
        <v>32067</v>
      </c>
      <c r="H74" s="1" t="s">
        <v>69</v>
      </c>
      <c r="I74" s="1" t="s">
        <v>66</v>
      </c>
      <c r="J74" s="1" t="s">
        <v>160</v>
      </c>
      <c r="L74" s="14" t="str">
        <f t="shared" si="5"/>
        <v>Normal</v>
      </c>
      <c r="M74" t="str">
        <f t="shared" si="6"/>
        <v>Not Eligible</v>
      </c>
      <c r="N74" t="str">
        <f t="shared" si="7"/>
        <v>Not Eligible</v>
      </c>
      <c r="O74" t="str">
        <f t="shared" si="8"/>
        <v>Follow up</v>
      </c>
      <c r="P74" t="str">
        <f t="shared" si="9"/>
        <v>Loan Customer</v>
      </c>
    </row>
    <row r="75" spans="1:16" x14ac:dyDescent="0.35">
      <c r="A75" s="1">
        <v>4433</v>
      </c>
      <c r="B75" s="1" t="s">
        <v>99</v>
      </c>
      <c r="C75" s="1" t="s">
        <v>15</v>
      </c>
      <c r="D75" s="1" t="s">
        <v>19</v>
      </c>
      <c r="E75" s="1" t="s">
        <v>64</v>
      </c>
      <c r="F75" s="1">
        <v>579612</v>
      </c>
      <c r="G75" s="1">
        <v>56123</v>
      </c>
      <c r="H75" s="1" t="s">
        <v>69</v>
      </c>
      <c r="I75" s="1" t="s">
        <v>66</v>
      </c>
      <c r="J75" s="1" t="s">
        <v>161</v>
      </c>
      <c r="L75" s="14" t="str">
        <f t="shared" si="5"/>
        <v>premium</v>
      </c>
      <c r="M75" t="str">
        <f t="shared" si="6"/>
        <v>Salary Eligible</v>
      </c>
      <c r="N75" t="str">
        <f t="shared" si="7"/>
        <v>Not Eligible</v>
      </c>
      <c r="O75" t="str">
        <f t="shared" si="8"/>
        <v>Follow up</v>
      </c>
      <c r="P75" t="str">
        <f t="shared" si="9"/>
        <v>Loan Customer</v>
      </c>
    </row>
    <row r="76" spans="1:16" x14ac:dyDescent="0.35">
      <c r="A76" s="1">
        <v>4668</v>
      </c>
      <c r="B76" s="1" t="s">
        <v>94</v>
      </c>
      <c r="C76" s="1" t="s">
        <v>15</v>
      </c>
      <c r="D76" s="1" t="s">
        <v>64</v>
      </c>
      <c r="E76" s="1" t="s">
        <v>20</v>
      </c>
      <c r="F76" s="1">
        <v>425147</v>
      </c>
      <c r="G76" s="1">
        <v>141299</v>
      </c>
      <c r="H76" s="1" t="s">
        <v>69</v>
      </c>
      <c r="I76" s="1" t="s">
        <v>79</v>
      </c>
      <c r="J76" s="1" t="s">
        <v>162</v>
      </c>
      <c r="L76" s="14" t="str">
        <f t="shared" si="5"/>
        <v>premium</v>
      </c>
      <c r="M76" t="str">
        <f t="shared" si="6"/>
        <v>Salary Eligible</v>
      </c>
      <c r="N76" t="str">
        <f t="shared" si="7"/>
        <v>Auto-loan Eligible</v>
      </c>
      <c r="O76" t="str">
        <f t="shared" si="8"/>
        <v>Do Not Contact</v>
      </c>
      <c r="P76" t="str">
        <f t="shared" si="9"/>
        <v>Loan Customer</v>
      </c>
    </row>
    <row r="77" spans="1:16" x14ac:dyDescent="0.35">
      <c r="A77" s="1">
        <v>6140</v>
      </c>
      <c r="B77" s="1" t="s">
        <v>85</v>
      </c>
      <c r="C77" s="1" t="s">
        <v>16</v>
      </c>
      <c r="D77" s="1" t="s">
        <v>89</v>
      </c>
      <c r="E77" s="1" t="s">
        <v>75</v>
      </c>
      <c r="F77" s="1">
        <v>559670</v>
      </c>
      <c r="G77" s="1">
        <v>85389</v>
      </c>
      <c r="H77" s="1" t="s">
        <v>69</v>
      </c>
      <c r="I77" s="1" t="s">
        <v>81</v>
      </c>
      <c r="J77" s="1" t="s">
        <v>163</v>
      </c>
      <c r="L77" s="14" t="str">
        <f t="shared" si="5"/>
        <v>premium</v>
      </c>
      <c r="M77" t="str">
        <f t="shared" si="6"/>
        <v>Salary Eligible</v>
      </c>
      <c r="N77" t="str">
        <f t="shared" si="7"/>
        <v>Auto-loan Eligible</v>
      </c>
      <c r="O77" t="str">
        <f t="shared" si="8"/>
        <v>Follow up</v>
      </c>
      <c r="P77" t="str">
        <f t="shared" si="9"/>
        <v>Loan Customer</v>
      </c>
    </row>
    <row r="78" spans="1:16" x14ac:dyDescent="0.35">
      <c r="A78" s="1">
        <v>7584</v>
      </c>
      <c r="B78" s="1" t="s">
        <v>96</v>
      </c>
      <c r="C78" s="1" t="s">
        <v>17</v>
      </c>
      <c r="D78" s="1" t="s">
        <v>89</v>
      </c>
      <c r="E78" s="1" t="s">
        <v>89</v>
      </c>
      <c r="F78" s="1">
        <v>584381</v>
      </c>
      <c r="G78" s="1">
        <v>58631</v>
      </c>
      <c r="H78" s="1" t="s">
        <v>69</v>
      </c>
      <c r="I78" s="1" t="s">
        <v>81</v>
      </c>
      <c r="J78" s="1" t="s">
        <v>164</v>
      </c>
      <c r="L78" s="14" t="str">
        <f t="shared" si="5"/>
        <v>premium</v>
      </c>
      <c r="M78" t="str">
        <f t="shared" si="6"/>
        <v>Salary Eligible</v>
      </c>
      <c r="N78" t="str">
        <f t="shared" si="7"/>
        <v>Not Eligible</v>
      </c>
      <c r="O78" t="str">
        <f t="shared" si="8"/>
        <v>Follow up</v>
      </c>
      <c r="P78" t="str">
        <f t="shared" si="9"/>
        <v>Loan Customer</v>
      </c>
    </row>
    <row r="79" spans="1:16" x14ac:dyDescent="0.35">
      <c r="A79" s="1">
        <v>8169</v>
      </c>
      <c r="B79" s="1" t="s">
        <v>9</v>
      </c>
      <c r="C79" s="1" t="s">
        <v>15</v>
      </c>
      <c r="D79" s="1" t="s">
        <v>20</v>
      </c>
      <c r="E79" s="1" t="s">
        <v>20</v>
      </c>
      <c r="F79" s="1">
        <v>56867</v>
      </c>
      <c r="G79" s="1">
        <v>173751</v>
      </c>
      <c r="H79" s="1" t="s">
        <v>65</v>
      </c>
      <c r="I79" s="1" t="s">
        <v>81</v>
      </c>
      <c r="J79" s="1" t="s">
        <v>165</v>
      </c>
      <c r="L79" s="14" t="str">
        <f t="shared" si="5"/>
        <v>Normal</v>
      </c>
      <c r="M79" t="str">
        <f t="shared" si="6"/>
        <v>Salary Eligible</v>
      </c>
      <c r="N79" t="str">
        <f t="shared" si="7"/>
        <v>Not Eligible</v>
      </c>
      <c r="O79" t="str">
        <f t="shared" si="8"/>
        <v>Follow up</v>
      </c>
      <c r="P79" t="str">
        <f t="shared" si="9"/>
        <v>Non Loan Customer</v>
      </c>
    </row>
    <row r="80" spans="1:16" x14ac:dyDescent="0.35">
      <c r="A80" s="1">
        <v>8128</v>
      </c>
      <c r="B80" s="1" t="s">
        <v>2</v>
      </c>
      <c r="C80" s="1" t="s">
        <v>15</v>
      </c>
      <c r="D80" s="1" t="s">
        <v>18</v>
      </c>
      <c r="E80" s="1" t="s">
        <v>75</v>
      </c>
      <c r="F80" s="1">
        <v>254342</v>
      </c>
      <c r="G80" s="1">
        <v>119307</v>
      </c>
      <c r="H80" s="1" t="s">
        <v>69</v>
      </c>
      <c r="I80" s="1" t="s">
        <v>66</v>
      </c>
      <c r="J80" s="1" t="s">
        <v>166</v>
      </c>
      <c r="L80" s="14" t="str">
        <f t="shared" si="5"/>
        <v>Normal</v>
      </c>
      <c r="M80" t="str">
        <f t="shared" si="6"/>
        <v>Salary Eligible</v>
      </c>
      <c r="N80" t="str">
        <f t="shared" si="7"/>
        <v>Auto-loan Eligible</v>
      </c>
      <c r="O80" t="str">
        <f t="shared" si="8"/>
        <v>Follow up</v>
      </c>
      <c r="P80" t="str">
        <f t="shared" si="9"/>
        <v>Loan Customer</v>
      </c>
    </row>
    <row r="81" spans="1:16" x14ac:dyDescent="0.35">
      <c r="A81" s="1">
        <v>7919</v>
      </c>
      <c r="B81" s="1" t="s">
        <v>4</v>
      </c>
      <c r="C81" s="1" t="s">
        <v>16</v>
      </c>
      <c r="D81" s="1" t="s">
        <v>72</v>
      </c>
      <c r="E81" s="1" t="s">
        <v>19</v>
      </c>
      <c r="F81" s="1">
        <v>808804</v>
      </c>
      <c r="G81" s="1">
        <v>133894</v>
      </c>
      <c r="H81" s="1" t="s">
        <v>69</v>
      </c>
      <c r="I81" s="1" t="s">
        <v>79</v>
      </c>
      <c r="J81" s="1" t="s">
        <v>167</v>
      </c>
      <c r="L81" s="14" t="str">
        <f t="shared" si="5"/>
        <v>premium</v>
      </c>
      <c r="M81" t="str">
        <f t="shared" si="6"/>
        <v>Salary Eligible</v>
      </c>
      <c r="N81" t="str">
        <f t="shared" si="7"/>
        <v>Auto-loan Eligible</v>
      </c>
      <c r="O81" t="str">
        <f t="shared" si="8"/>
        <v>Do Not Contact</v>
      </c>
      <c r="P81" t="str">
        <f t="shared" si="9"/>
        <v>Loan Customer</v>
      </c>
    </row>
    <row r="82" spans="1:16" x14ac:dyDescent="0.35">
      <c r="A82" s="1">
        <v>7090</v>
      </c>
      <c r="B82" s="1" t="s">
        <v>151</v>
      </c>
      <c r="C82" s="1" t="s">
        <v>15</v>
      </c>
      <c r="D82" s="1" t="s">
        <v>20</v>
      </c>
      <c r="E82" s="1" t="s">
        <v>75</v>
      </c>
      <c r="F82" s="1">
        <v>68983</v>
      </c>
      <c r="G82" s="1">
        <v>29423</v>
      </c>
      <c r="H82" s="1" t="s">
        <v>69</v>
      </c>
      <c r="I82" s="1" t="s">
        <v>66</v>
      </c>
      <c r="J82" s="1" t="s">
        <v>168</v>
      </c>
      <c r="L82" s="14" t="str">
        <f t="shared" si="5"/>
        <v>Normal</v>
      </c>
      <c r="M82" t="str">
        <f t="shared" si="6"/>
        <v>Not Eligible</v>
      </c>
      <c r="N82" t="str">
        <f t="shared" si="7"/>
        <v>Not Eligible</v>
      </c>
      <c r="O82" t="str">
        <f t="shared" si="8"/>
        <v>Follow up</v>
      </c>
      <c r="P82" t="str">
        <f t="shared" si="9"/>
        <v>Loan Customer</v>
      </c>
    </row>
    <row r="83" spans="1:16" x14ac:dyDescent="0.35">
      <c r="A83" s="1">
        <v>5623</v>
      </c>
      <c r="B83" s="1" t="s">
        <v>141</v>
      </c>
      <c r="C83" s="1" t="s">
        <v>16</v>
      </c>
      <c r="D83" s="1" t="s">
        <v>75</v>
      </c>
      <c r="E83" s="1" t="s">
        <v>18</v>
      </c>
      <c r="F83" s="1">
        <v>469687</v>
      </c>
      <c r="G83" s="1">
        <v>15511</v>
      </c>
      <c r="H83" s="1" t="s">
        <v>65</v>
      </c>
      <c r="I83" s="1" t="s">
        <v>66</v>
      </c>
      <c r="J83" s="1" t="s">
        <v>169</v>
      </c>
      <c r="L83" s="14" t="str">
        <f t="shared" si="5"/>
        <v>premium</v>
      </c>
      <c r="M83" t="str">
        <f t="shared" si="6"/>
        <v>Not Eligible</v>
      </c>
      <c r="N83" t="str">
        <f t="shared" si="7"/>
        <v>Not Eligible</v>
      </c>
      <c r="O83" t="str">
        <f t="shared" si="8"/>
        <v>Follow up</v>
      </c>
      <c r="P83" t="str">
        <f t="shared" si="9"/>
        <v>Non Loan Customer</v>
      </c>
    </row>
    <row r="84" spans="1:16" x14ac:dyDescent="0.35">
      <c r="A84" s="1">
        <v>8991</v>
      </c>
      <c r="B84" s="1" t="s">
        <v>94</v>
      </c>
      <c r="C84" s="1" t="s">
        <v>16</v>
      </c>
      <c r="D84" s="1" t="s">
        <v>64</v>
      </c>
      <c r="E84" s="1" t="s">
        <v>75</v>
      </c>
      <c r="F84" s="1">
        <v>645266</v>
      </c>
      <c r="G84" s="1">
        <v>106882</v>
      </c>
      <c r="H84" s="1" t="s">
        <v>65</v>
      </c>
      <c r="I84" s="1" t="s">
        <v>66</v>
      </c>
      <c r="J84" s="1" t="s">
        <v>170</v>
      </c>
      <c r="L84" s="14" t="str">
        <f t="shared" si="5"/>
        <v>premium</v>
      </c>
      <c r="M84" t="str">
        <f t="shared" si="6"/>
        <v>Salary Eligible</v>
      </c>
      <c r="N84" t="str">
        <f t="shared" si="7"/>
        <v>Auto-loan Eligible</v>
      </c>
      <c r="O84" t="str">
        <f t="shared" si="8"/>
        <v>Follow up</v>
      </c>
      <c r="P84" t="str">
        <f t="shared" si="9"/>
        <v>Non Loan Customer</v>
      </c>
    </row>
    <row r="85" spans="1:16" x14ac:dyDescent="0.35">
      <c r="A85" s="1">
        <v>4323</v>
      </c>
      <c r="B85" s="1" t="s">
        <v>102</v>
      </c>
      <c r="C85" s="1" t="s">
        <v>16</v>
      </c>
      <c r="D85" s="1" t="s">
        <v>72</v>
      </c>
      <c r="E85" s="1" t="s">
        <v>75</v>
      </c>
      <c r="F85" s="1">
        <v>308404</v>
      </c>
      <c r="G85" s="1">
        <v>90682</v>
      </c>
      <c r="H85" s="1" t="s">
        <v>69</v>
      </c>
      <c r="I85" s="1" t="s">
        <v>81</v>
      </c>
      <c r="J85" s="1" t="s">
        <v>171</v>
      </c>
      <c r="L85" s="14" t="str">
        <f t="shared" si="5"/>
        <v>premium</v>
      </c>
      <c r="M85" t="str">
        <f t="shared" si="6"/>
        <v>Salary Eligible</v>
      </c>
      <c r="N85" t="str">
        <f t="shared" si="7"/>
        <v>Auto-loan Eligible</v>
      </c>
      <c r="O85" t="str">
        <f t="shared" si="8"/>
        <v>Follow up</v>
      </c>
      <c r="P85" t="str">
        <f t="shared" si="9"/>
        <v>Loan Customer</v>
      </c>
    </row>
    <row r="86" spans="1:16" x14ac:dyDescent="0.35">
      <c r="A86" s="1">
        <v>7992</v>
      </c>
      <c r="B86" s="1" t="s">
        <v>96</v>
      </c>
      <c r="C86" s="1" t="s">
        <v>16</v>
      </c>
      <c r="D86" s="1" t="s">
        <v>75</v>
      </c>
      <c r="E86" s="1" t="s">
        <v>20</v>
      </c>
      <c r="F86" s="1">
        <v>811400</v>
      </c>
      <c r="G86" s="1">
        <v>74361</v>
      </c>
      <c r="H86" s="1" t="s">
        <v>65</v>
      </c>
      <c r="I86" s="1" t="s">
        <v>79</v>
      </c>
      <c r="J86" s="1" t="s">
        <v>172</v>
      </c>
      <c r="L86" s="14" t="str">
        <f t="shared" si="5"/>
        <v>premium</v>
      </c>
      <c r="M86" t="str">
        <f t="shared" si="6"/>
        <v>Salary Eligible</v>
      </c>
      <c r="N86" t="str">
        <f t="shared" si="7"/>
        <v>Not Eligible</v>
      </c>
      <c r="O86" t="str">
        <f t="shared" si="8"/>
        <v>Do Not Contact</v>
      </c>
      <c r="P86" t="str">
        <f t="shared" si="9"/>
        <v>Non Loan Customer</v>
      </c>
    </row>
    <row r="87" spans="1:16" x14ac:dyDescent="0.35">
      <c r="A87" s="1">
        <v>5748</v>
      </c>
      <c r="B87" s="1" t="s">
        <v>2</v>
      </c>
      <c r="C87" s="1" t="s">
        <v>16</v>
      </c>
      <c r="D87" s="1" t="s">
        <v>18</v>
      </c>
      <c r="E87" s="1" t="s">
        <v>18</v>
      </c>
      <c r="F87" s="1">
        <v>620870</v>
      </c>
      <c r="G87" s="1">
        <v>80905</v>
      </c>
      <c r="H87" s="1" t="s">
        <v>69</v>
      </c>
      <c r="I87" s="1" t="s">
        <v>79</v>
      </c>
      <c r="J87" s="1" t="s">
        <v>173</v>
      </c>
      <c r="L87" s="14" t="str">
        <f t="shared" si="5"/>
        <v>premium</v>
      </c>
      <c r="M87" t="str">
        <f t="shared" si="6"/>
        <v>Salary Eligible</v>
      </c>
      <c r="N87" t="str">
        <f t="shared" si="7"/>
        <v>Auto-loan Eligible</v>
      </c>
      <c r="O87" t="str">
        <f t="shared" si="8"/>
        <v>Do Not Contact</v>
      </c>
      <c r="P87" t="str">
        <f t="shared" si="9"/>
        <v>Loan Customer</v>
      </c>
    </row>
    <row r="88" spans="1:16" x14ac:dyDescent="0.35">
      <c r="A88" s="1">
        <v>8109</v>
      </c>
      <c r="B88" s="1" t="s">
        <v>12</v>
      </c>
      <c r="C88" s="1" t="s">
        <v>17</v>
      </c>
      <c r="D88" s="1" t="s">
        <v>64</v>
      </c>
      <c r="E88" s="1" t="s">
        <v>19</v>
      </c>
      <c r="F88" s="1">
        <v>323590</v>
      </c>
      <c r="G88" s="1">
        <v>39889</v>
      </c>
      <c r="H88" s="1" t="s">
        <v>65</v>
      </c>
      <c r="I88" s="1" t="s">
        <v>79</v>
      </c>
      <c r="J88" s="1" t="s">
        <v>174</v>
      </c>
      <c r="L88" s="14" t="str">
        <f t="shared" si="5"/>
        <v>premium</v>
      </c>
      <c r="M88" t="str">
        <f t="shared" si="6"/>
        <v>Not Eligible</v>
      </c>
      <c r="N88" t="str">
        <f t="shared" si="7"/>
        <v>Not Eligible</v>
      </c>
      <c r="O88" t="str">
        <f t="shared" si="8"/>
        <v>Do Not Contact</v>
      </c>
      <c r="P88" t="str">
        <f t="shared" si="9"/>
        <v>Non Loan Customer</v>
      </c>
    </row>
    <row r="89" spans="1:16" x14ac:dyDescent="0.35">
      <c r="A89" s="1">
        <v>3423</v>
      </c>
      <c r="B89" s="1" t="s">
        <v>4</v>
      </c>
      <c r="C89" s="1" t="s">
        <v>17</v>
      </c>
      <c r="D89" s="1" t="s">
        <v>18</v>
      </c>
      <c r="E89" s="1" t="s">
        <v>72</v>
      </c>
      <c r="F89" s="1">
        <v>79422</v>
      </c>
      <c r="G89" s="1">
        <v>50546</v>
      </c>
      <c r="H89" s="1" t="s">
        <v>65</v>
      </c>
      <c r="I89" s="1" t="s">
        <v>79</v>
      </c>
      <c r="J89" s="1" t="s">
        <v>175</v>
      </c>
      <c r="L89" s="14" t="str">
        <f t="shared" si="5"/>
        <v>Normal</v>
      </c>
      <c r="M89" t="str">
        <f t="shared" si="6"/>
        <v>Salary Eligible</v>
      </c>
      <c r="N89" t="str">
        <f t="shared" si="7"/>
        <v>Not Eligible</v>
      </c>
      <c r="O89" t="str">
        <f t="shared" si="8"/>
        <v>Do Not Contact</v>
      </c>
      <c r="P89" t="str">
        <f t="shared" si="9"/>
        <v>Non Loan Customer</v>
      </c>
    </row>
    <row r="90" spans="1:16" x14ac:dyDescent="0.35">
      <c r="A90" s="1">
        <v>7811</v>
      </c>
      <c r="B90" s="1" t="s">
        <v>114</v>
      </c>
      <c r="C90" s="1" t="s">
        <v>17</v>
      </c>
      <c r="D90" s="1" t="s">
        <v>89</v>
      </c>
      <c r="E90" s="1" t="s">
        <v>18</v>
      </c>
      <c r="F90" s="1">
        <v>421442</v>
      </c>
      <c r="G90" s="1">
        <v>80723</v>
      </c>
      <c r="H90" s="1" t="s">
        <v>65</v>
      </c>
      <c r="I90" s="1" t="s">
        <v>66</v>
      </c>
      <c r="J90" s="1" t="s">
        <v>176</v>
      </c>
      <c r="L90" s="14" t="str">
        <f t="shared" si="5"/>
        <v>premium</v>
      </c>
      <c r="M90" t="str">
        <f t="shared" si="6"/>
        <v>Salary Eligible</v>
      </c>
      <c r="N90" t="str">
        <f t="shared" si="7"/>
        <v>Auto-loan Eligible</v>
      </c>
      <c r="O90" t="str">
        <f t="shared" si="8"/>
        <v>Follow up</v>
      </c>
      <c r="P90" t="str">
        <f t="shared" si="9"/>
        <v>Non Loan Customer</v>
      </c>
    </row>
    <row r="91" spans="1:16" x14ac:dyDescent="0.35">
      <c r="A91" s="1">
        <v>2117</v>
      </c>
      <c r="B91" s="1" t="s">
        <v>177</v>
      </c>
      <c r="C91" s="1" t="s">
        <v>16</v>
      </c>
      <c r="D91" s="1" t="s">
        <v>20</v>
      </c>
      <c r="E91" s="1" t="s">
        <v>64</v>
      </c>
      <c r="F91" s="1">
        <v>553252</v>
      </c>
      <c r="G91" s="1">
        <v>14572</v>
      </c>
      <c r="H91" s="1" t="s">
        <v>65</v>
      </c>
      <c r="I91" s="1" t="s">
        <v>81</v>
      </c>
      <c r="J91" s="1" t="s">
        <v>178</v>
      </c>
      <c r="L91" s="14" t="str">
        <f t="shared" si="5"/>
        <v>premium</v>
      </c>
      <c r="M91" t="str">
        <f t="shared" si="6"/>
        <v>Not Eligible</v>
      </c>
      <c r="N91" t="str">
        <f t="shared" si="7"/>
        <v>Not Eligible</v>
      </c>
      <c r="O91" t="str">
        <f t="shared" si="8"/>
        <v>Follow up</v>
      </c>
      <c r="P91" t="str">
        <f t="shared" si="9"/>
        <v>Non Loan Customer</v>
      </c>
    </row>
    <row r="92" spans="1:16" x14ac:dyDescent="0.35">
      <c r="A92" s="1">
        <v>5544</v>
      </c>
      <c r="B92" s="1" t="s">
        <v>71</v>
      </c>
      <c r="C92" s="1" t="s">
        <v>16</v>
      </c>
      <c r="D92" s="1" t="s">
        <v>89</v>
      </c>
      <c r="E92" s="1" t="s">
        <v>64</v>
      </c>
      <c r="F92" s="1">
        <v>469933</v>
      </c>
      <c r="G92" s="1">
        <v>102304</v>
      </c>
      <c r="H92" s="1" t="s">
        <v>69</v>
      </c>
      <c r="I92" s="1" t="s">
        <v>66</v>
      </c>
      <c r="J92" s="1" t="s">
        <v>179</v>
      </c>
      <c r="L92" s="14" t="str">
        <f t="shared" si="5"/>
        <v>premium</v>
      </c>
      <c r="M92" t="str">
        <f t="shared" si="6"/>
        <v>Salary Eligible</v>
      </c>
      <c r="N92" t="str">
        <f t="shared" si="7"/>
        <v>Auto-loan Eligible</v>
      </c>
      <c r="O92" t="str">
        <f t="shared" si="8"/>
        <v>Follow up</v>
      </c>
      <c r="P92" t="str">
        <f t="shared" si="9"/>
        <v>Loan Customer</v>
      </c>
    </row>
    <row r="93" spans="1:16" x14ac:dyDescent="0.35">
      <c r="A93" s="1">
        <v>9038</v>
      </c>
      <c r="B93" s="1" t="s">
        <v>10</v>
      </c>
      <c r="C93" s="1" t="s">
        <v>15</v>
      </c>
      <c r="D93" s="1" t="s">
        <v>19</v>
      </c>
      <c r="E93" s="1" t="s">
        <v>75</v>
      </c>
      <c r="F93" s="1">
        <v>298824</v>
      </c>
      <c r="G93" s="1">
        <v>45480</v>
      </c>
      <c r="H93" s="1" t="s">
        <v>69</v>
      </c>
      <c r="I93" s="1" t="s">
        <v>66</v>
      </c>
      <c r="J93" s="1" t="s">
        <v>180</v>
      </c>
      <c r="L93" s="14" t="str">
        <f t="shared" si="5"/>
        <v>Normal</v>
      </c>
      <c r="M93" t="str">
        <f t="shared" si="6"/>
        <v>Not Eligible</v>
      </c>
      <c r="N93" t="str">
        <f t="shared" si="7"/>
        <v>Not Eligible</v>
      </c>
      <c r="O93" t="str">
        <f t="shared" si="8"/>
        <v>Follow up</v>
      </c>
      <c r="P93" t="str">
        <f t="shared" si="9"/>
        <v>Loan Customer</v>
      </c>
    </row>
    <row r="94" spans="1:16" x14ac:dyDescent="0.35">
      <c r="A94" s="1">
        <v>9081</v>
      </c>
      <c r="B94" s="1" t="s">
        <v>177</v>
      </c>
      <c r="C94" s="1" t="s">
        <v>15</v>
      </c>
      <c r="D94" s="1" t="s">
        <v>18</v>
      </c>
      <c r="E94" s="1" t="s">
        <v>20</v>
      </c>
      <c r="F94" s="1">
        <v>402492</v>
      </c>
      <c r="G94" s="1">
        <v>166178</v>
      </c>
      <c r="H94" s="1" t="s">
        <v>65</v>
      </c>
      <c r="I94" s="1" t="s">
        <v>66</v>
      </c>
      <c r="J94" s="1" t="s">
        <v>181</v>
      </c>
      <c r="L94" s="14" t="str">
        <f t="shared" si="5"/>
        <v>premium</v>
      </c>
      <c r="M94" t="str">
        <f t="shared" si="6"/>
        <v>Salary Eligible</v>
      </c>
      <c r="N94" t="str">
        <f t="shared" si="7"/>
        <v>Auto-loan Eligible</v>
      </c>
      <c r="O94" t="str">
        <f t="shared" si="8"/>
        <v>Follow up</v>
      </c>
      <c r="P94" t="str">
        <f t="shared" si="9"/>
        <v>Non Loan Customer</v>
      </c>
    </row>
    <row r="95" spans="1:16" x14ac:dyDescent="0.35">
      <c r="A95" s="1">
        <v>1508</v>
      </c>
      <c r="B95" s="1" t="s">
        <v>5</v>
      </c>
      <c r="C95" s="1" t="s">
        <v>15</v>
      </c>
      <c r="D95" s="1" t="s">
        <v>75</v>
      </c>
      <c r="E95" s="1" t="s">
        <v>64</v>
      </c>
      <c r="F95" s="1">
        <v>416146</v>
      </c>
      <c r="G95" s="1">
        <v>76024</v>
      </c>
      <c r="H95" s="1" t="s">
        <v>65</v>
      </c>
      <c r="I95" s="1" t="s">
        <v>66</v>
      </c>
      <c r="J95" s="1" t="s">
        <v>182</v>
      </c>
      <c r="L95" s="14" t="str">
        <f t="shared" si="5"/>
        <v>premium</v>
      </c>
      <c r="M95" t="str">
        <f t="shared" si="6"/>
        <v>Salary Eligible</v>
      </c>
      <c r="N95" t="str">
        <f t="shared" si="7"/>
        <v>Auto-loan Eligible</v>
      </c>
      <c r="O95" t="str">
        <f t="shared" si="8"/>
        <v>Follow up</v>
      </c>
      <c r="P95" t="str">
        <f t="shared" si="9"/>
        <v>Non Loan Customer</v>
      </c>
    </row>
    <row r="96" spans="1:16" x14ac:dyDescent="0.35">
      <c r="A96" s="1">
        <v>4271</v>
      </c>
      <c r="B96" s="1" t="s">
        <v>108</v>
      </c>
      <c r="C96" s="1" t="s">
        <v>16</v>
      </c>
      <c r="D96" s="1" t="s">
        <v>75</v>
      </c>
      <c r="E96" s="1" t="s">
        <v>72</v>
      </c>
      <c r="F96" s="1">
        <v>130846</v>
      </c>
      <c r="G96" s="1">
        <v>168987</v>
      </c>
      <c r="H96" s="1" t="s">
        <v>65</v>
      </c>
      <c r="I96" s="1" t="s">
        <v>81</v>
      </c>
      <c r="J96" s="1" t="s">
        <v>183</v>
      </c>
      <c r="L96" s="14" t="str">
        <f t="shared" si="5"/>
        <v>Normal</v>
      </c>
      <c r="M96" t="str">
        <f t="shared" si="6"/>
        <v>Salary Eligible</v>
      </c>
      <c r="N96" t="str">
        <f t="shared" si="7"/>
        <v>Auto-loan Eligible</v>
      </c>
      <c r="O96" t="str">
        <f t="shared" si="8"/>
        <v>Follow up</v>
      </c>
      <c r="P96" t="str">
        <f t="shared" si="9"/>
        <v>Non Loan Customer</v>
      </c>
    </row>
    <row r="97" spans="1:16" x14ac:dyDescent="0.35">
      <c r="A97" s="1">
        <v>1074</v>
      </c>
      <c r="B97" s="1" t="s">
        <v>71</v>
      </c>
      <c r="C97" s="1" t="s">
        <v>16</v>
      </c>
      <c r="D97" s="1" t="s">
        <v>64</v>
      </c>
      <c r="E97" s="1" t="s">
        <v>64</v>
      </c>
      <c r="F97" s="1">
        <v>858992</v>
      </c>
      <c r="G97" s="1">
        <v>168910</v>
      </c>
      <c r="H97" s="1" t="s">
        <v>69</v>
      </c>
      <c r="I97" s="1" t="s">
        <v>81</v>
      </c>
      <c r="J97" s="1" t="s">
        <v>184</v>
      </c>
      <c r="L97" s="14" t="str">
        <f t="shared" si="5"/>
        <v>premium</v>
      </c>
      <c r="M97" t="str">
        <f t="shared" si="6"/>
        <v>Salary Eligible</v>
      </c>
      <c r="N97" t="str">
        <f t="shared" si="7"/>
        <v>Auto-loan Eligible</v>
      </c>
      <c r="O97" t="str">
        <f t="shared" si="8"/>
        <v>Follow up</v>
      </c>
      <c r="P97" t="str">
        <f t="shared" si="9"/>
        <v>Loan Customer</v>
      </c>
    </row>
    <row r="98" spans="1:16" x14ac:dyDescent="0.35">
      <c r="A98" s="1">
        <v>3578</v>
      </c>
      <c r="B98" s="1" t="s">
        <v>7</v>
      </c>
      <c r="C98" s="1" t="s">
        <v>15</v>
      </c>
      <c r="D98" s="1" t="s">
        <v>72</v>
      </c>
      <c r="E98" s="1" t="s">
        <v>89</v>
      </c>
      <c r="F98" s="1">
        <v>674662</v>
      </c>
      <c r="G98" s="1">
        <v>61076</v>
      </c>
      <c r="H98" s="1" t="s">
        <v>69</v>
      </c>
      <c r="I98" s="1" t="s">
        <v>79</v>
      </c>
      <c r="J98" s="1" t="s">
        <v>185</v>
      </c>
      <c r="L98" s="14" t="str">
        <f t="shared" si="5"/>
        <v>premium</v>
      </c>
      <c r="M98" t="str">
        <f t="shared" si="6"/>
        <v>Salary Eligible</v>
      </c>
      <c r="N98" t="str">
        <f t="shared" si="7"/>
        <v>Not Eligible</v>
      </c>
      <c r="O98" t="str">
        <f t="shared" si="8"/>
        <v>Do Not Contact</v>
      </c>
      <c r="P98" t="str">
        <f t="shared" si="9"/>
        <v>Loan Customer</v>
      </c>
    </row>
    <row r="99" spans="1:16" x14ac:dyDescent="0.35">
      <c r="A99" s="1">
        <v>2533</v>
      </c>
      <c r="B99" s="1" t="s">
        <v>94</v>
      </c>
      <c r="C99" s="1" t="s">
        <v>16</v>
      </c>
      <c r="D99" s="1" t="s">
        <v>20</v>
      </c>
      <c r="E99" s="1" t="s">
        <v>64</v>
      </c>
      <c r="F99" s="1">
        <v>76966</v>
      </c>
      <c r="G99" s="1">
        <v>149483</v>
      </c>
      <c r="H99" s="1" t="s">
        <v>65</v>
      </c>
      <c r="I99" s="1" t="s">
        <v>79</v>
      </c>
      <c r="J99" s="1" t="s">
        <v>186</v>
      </c>
      <c r="L99" s="14" t="str">
        <f t="shared" si="5"/>
        <v>Normal</v>
      </c>
      <c r="M99" t="str">
        <f t="shared" si="6"/>
        <v>Salary Eligible</v>
      </c>
      <c r="N99" t="str">
        <f t="shared" si="7"/>
        <v>Not Eligible</v>
      </c>
      <c r="O99" t="str">
        <f t="shared" si="8"/>
        <v>Do Not Contact</v>
      </c>
      <c r="P99" t="str">
        <f t="shared" si="9"/>
        <v>Non Loan Customer</v>
      </c>
    </row>
    <row r="100" spans="1:16" x14ac:dyDescent="0.35">
      <c r="A100" s="1">
        <v>8957</v>
      </c>
      <c r="B100" s="1" t="s">
        <v>2</v>
      </c>
      <c r="C100" s="1" t="s">
        <v>16</v>
      </c>
      <c r="D100" s="1" t="s">
        <v>19</v>
      </c>
      <c r="E100" s="1" t="s">
        <v>72</v>
      </c>
      <c r="F100" s="1">
        <v>875959</v>
      </c>
      <c r="G100" s="1">
        <v>194652</v>
      </c>
      <c r="H100" s="1" t="s">
        <v>69</v>
      </c>
      <c r="I100" s="1" t="s">
        <v>79</v>
      </c>
      <c r="J100" s="1" t="s">
        <v>187</v>
      </c>
      <c r="L100" s="14" t="str">
        <f t="shared" si="5"/>
        <v>premium</v>
      </c>
      <c r="M100" t="str">
        <f t="shared" si="6"/>
        <v>Salary Eligible</v>
      </c>
      <c r="N100" t="str">
        <f t="shared" si="7"/>
        <v>Auto-loan Eligible</v>
      </c>
      <c r="O100" t="str">
        <f t="shared" si="8"/>
        <v>Do Not Contact</v>
      </c>
      <c r="P100" t="str">
        <f t="shared" si="9"/>
        <v>Loan Customer</v>
      </c>
    </row>
    <row r="101" spans="1:16" x14ac:dyDescent="0.35">
      <c r="A101" s="1">
        <v>9749</v>
      </c>
      <c r="B101" s="1" t="s">
        <v>11</v>
      </c>
      <c r="C101" s="1" t="s">
        <v>16</v>
      </c>
      <c r="D101" s="1" t="s">
        <v>72</v>
      </c>
      <c r="E101" s="1" t="s">
        <v>19</v>
      </c>
      <c r="F101" s="1">
        <v>214978</v>
      </c>
      <c r="G101" s="1">
        <v>175696</v>
      </c>
      <c r="H101" s="1" t="s">
        <v>65</v>
      </c>
      <c r="I101" s="1" t="s">
        <v>79</v>
      </c>
      <c r="J101" s="1" t="s">
        <v>188</v>
      </c>
      <c r="L101" s="14" t="str">
        <f t="shared" si="5"/>
        <v>Normal</v>
      </c>
      <c r="M101" t="str">
        <f t="shared" si="6"/>
        <v>Salary Eligible</v>
      </c>
      <c r="N101" t="str">
        <f t="shared" si="7"/>
        <v>Auto-loan Eligible</v>
      </c>
      <c r="O101" t="str">
        <f t="shared" si="8"/>
        <v>Do Not Contact</v>
      </c>
      <c r="P101" t="str">
        <f t="shared" si="9"/>
        <v>Non Loan Customer</v>
      </c>
    </row>
    <row r="102" spans="1:16" x14ac:dyDescent="0.35">
      <c r="A102" s="1">
        <v>8014</v>
      </c>
      <c r="B102" s="1" t="s">
        <v>7</v>
      </c>
      <c r="C102" s="1" t="s">
        <v>16</v>
      </c>
      <c r="D102" s="1" t="s">
        <v>89</v>
      </c>
      <c r="E102" s="1" t="s">
        <v>20</v>
      </c>
      <c r="F102" s="1">
        <v>378290</v>
      </c>
      <c r="G102" s="1">
        <v>176497</v>
      </c>
      <c r="H102" s="1" t="s">
        <v>65</v>
      </c>
      <c r="I102" s="1" t="s">
        <v>79</v>
      </c>
      <c r="J102" s="1" t="s">
        <v>189</v>
      </c>
      <c r="L102" s="14" t="str">
        <f t="shared" si="5"/>
        <v>premium</v>
      </c>
      <c r="M102" t="str">
        <f t="shared" si="6"/>
        <v>Salary Eligible</v>
      </c>
      <c r="N102" t="str">
        <f t="shared" si="7"/>
        <v>Auto-loan Eligible</v>
      </c>
      <c r="O102" t="str">
        <f t="shared" si="8"/>
        <v>Do Not Contact</v>
      </c>
      <c r="P102" t="str">
        <f t="shared" si="9"/>
        <v>Non Loan Customer</v>
      </c>
    </row>
    <row r="103" spans="1:16" x14ac:dyDescent="0.35">
      <c r="A103" s="1">
        <v>8980</v>
      </c>
      <c r="B103" s="1" t="s">
        <v>63</v>
      </c>
      <c r="C103" s="1" t="s">
        <v>16</v>
      </c>
      <c r="D103" s="1" t="s">
        <v>89</v>
      </c>
      <c r="E103" s="1" t="s">
        <v>89</v>
      </c>
      <c r="F103" s="1">
        <v>335334</v>
      </c>
      <c r="G103" s="1">
        <v>130144</v>
      </c>
      <c r="H103" s="1" t="s">
        <v>69</v>
      </c>
      <c r="I103" s="1" t="s">
        <v>81</v>
      </c>
      <c r="J103" s="1" t="s">
        <v>190</v>
      </c>
      <c r="L103" s="14" t="str">
        <f t="shared" si="5"/>
        <v>premium</v>
      </c>
      <c r="M103" t="str">
        <f t="shared" si="6"/>
        <v>Salary Eligible</v>
      </c>
      <c r="N103" t="str">
        <f t="shared" si="7"/>
        <v>Auto-loan Eligible</v>
      </c>
      <c r="O103" t="str">
        <f t="shared" si="8"/>
        <v>Follow up</v>
      </c>
      <c r="P103" t="str">
        <f t="shared" si="9"/>
        <v>Loan Customer</v>
      </c>
    </row>
    <row r="104" spans="1:16" x14ac:dyDescent="0.35">
      <c r="A104" s="1">
        <v>1026</v>
      </c>
      <c r="B104" s="1" t="s">
        <v>13</v>
      </c>
      <c r="C104" s="1" t="s">
        <v>15</v>
      </c>
      <c r="D104" s="1" t="s">
        <v>89</v>
      </c>
      <c r="E104" s="1" t="s">
        <v>89</v>
      </c>
      <c r="F104" s="1">
        <v>214809</v>
      </c>
      <c r="G104" s="1">
        <v>53228</v>
      </c>
      <c r="H104" s="1" t="s">
        <v>65</v>
      </c>
      <c r="I104" s="1" t="s">
        <v>79</v>
      </c>
      <c r="J104" s="1" t="s">
        <v>191</v>
      </c>
      <c r="L104" s="14" t="str">
        <f t="shared" si="5"/>
        <v>Normal</v>
      </c>
      <c r="M104" t="str">
        <f t="shared" si="6"/>
        <v>Salary Eligible</v>
      </c>
      <c r="N104" t="str">
        <f t="shared" si="7"/>
        <v>Not Eligible</v>
      </c>
      <c r="O104" t="str">
        <f t="shared" si="8"/>
        <v>Do Not Contact</v>
      </c>
      <c r="P104" t="str">
        <f t="shared" si="9"/>
        <v>Non Loan Customer</v>
      </c>
    </row>
    <row r="105" spans="1:16" x14ac:dyDescent="0.35">
      <c r="A105" s="1">
        <v>1365</v>
      </c>
      <c r="B105" s="1" t="s">
        <v>108</v>
      </c>
      <c r="C105" s="1" t="s">
        <v>17</v>
      </c>
      <c r="D105" s="1" t="s">
        <v>75</v>
      </c>
      <c r="E105" s="1" t="s">
        <v>89</v>
      </c>
      <c r="F105" s="1">
        <v>653903</v>
      </c>
      <c r="G105" s="1">
        <v>77170</v>
      </c>
      <c r="H105" s="1" t="s">
        <v>65</v>
      </c>
      <c r="I105" s="1" t="s">
        <v>66</v>
      </c>
      <c r="J105" s="1" t="s">
        <v>192</v>
      </c>
      <c r="L105" s="14" t="str">
        <f t="shared" si="5"/>
        <v>premium</v>
      </c>
      <c r="M105" t="str">
        <f t="shared" si="6"/>
        <v>Salary Eligible</v>
      </c>
      <c r="N105" t="str">
        <f t="shared" si="7"/>
        <v>Auto-loan Eligible</v>
      </c>
      <c r="O105" t="str">
        <f t="shared" si="8"/>
        <v>Follow up</v>
      </c>
      <c r="P105" t="str">
        <f t="shared" si="9"/>
        <v>Non Loan Customer</v>
      </c>
    </row>
    <row r="106" spans="1:16" x14ac:dyDescent="0.35">
      <c r="A106" s="1">
        <v>1397</v>
      </c>
      <c r="B106" s="1" t="s">
        <v>13</v>
      </c>
      <c r="C106" s="1" t="s">
        <v>15</v>
      </c>
      <c r="D106" s="1" t="s">
        <v>64</v>
      </c>
      <c r="E106" s="1" t="s">
        <v>19</v>
      </c>
      <c r="F106" s="1">
        <v>133545</v>
      </c>
      <c r="G106" s="1">
        <v>28072</v>
      </c>
      <c r="H106" s="1" t="s">
        <v>65</v>
      </c>
      <c r="I106" s="1" t="s">
        <v>79</v>
      </c>
      <c r="J106" s="1" t="s">
        <v>193</v>
      </c>
      <c r="L106" s="14" t="str">
        <f t="shared" si="5"/>
        <v>Normal</v>
      </c>
      <c r="M106" t="str">
        <f t="shared" si="6"/>
        <v>Not Eligible</v>
      </c>
      <c r="N106" t="str">
        <f t="shared" si="7"/>
        <v>Not Eligible</v>
      </c>
      <c r="O106" t="str">
        <f t="shared" si="8"/>
        <v>Do Not Contact</v>
      </c>
      <c r="P106" t="str">
        <f t="shared" si="9"/>
        <v>Non Loan Customer</v>
      </c>
    </row>
    <row r="107" spans="1:16" x14ac:dyDescent="0.35">
      <c r="A107" s="1">
        <v>4456</v>
      </c>
      <c r="B107" s="1" t="s">
        <v>7</v>
      </c>
      <c r="C107" s="1" t="s">
        <v>17</v>
      </c>
      <c r="D107" s="1" t="s">
        <v>72</v>
      </c>
      <c r="E107" s="1" t="s">
        <v>75</v>
      </c>
      <c r="F107" s="1">
        <v>305515</v>
      </c>
      <c r="G107" s="1">
        <v>110664</v>
      </c>
      <c r="H107" s="1" t="s">
        <v>65</v>
      </c>
      <c r="I107" s="1" t="s">
        <v>79</v>
      </c>
      <c r="J107" s="1" t="s">
        <v>194</v>
      </c>
      <c r="L107" s="14" t="str">
        <f t="shared" si="5"/>
        <v>premium</v>
      </c>
      <c r="M107" t="str">
        <f t="shared" si="6"/>
        <v>Salary Eligible</v>
      </c>
      <c r="N107" t="str">
        <f t="shared" si="7"/>
        <v>Auto-loan Eligible</v>
      </c>
      <c r="O107" t="str">
        <f t="shared" si="8"/>
        <v>Do Not Contact</v>
      </c>
      <c r="P107" t="str">
        <f t="shared" si="9"/>
        <v>Non Loan Customer</v>
      </c>
    </row>
    <row r="108" spans="1:16" x14ac:dyDescent="0.35">
      <c r="A108" s="1">
        <v>9344</v>
      </c>
      <c r="B108" s="1" t="s">
        <v>114</v>
      </c>
      <c r="C108" s="1" t="s">
        <v>15</v>
      </c>
      <c r="D108" s="1" t="s">
        <v>19</v>
      </c>
      <c r="E108" s="1" t="s">
        <v>19</v>
      </c>
      <c r="F108" s="1">
        <v>79339</v>
      </c>
      <c r="G108" s="1">
        <v>16573</v>
      </c>
      <c r="H108" s="1" t="s">
        <v>65</v>
      </c>
      <c r="I108" s="1" t="s">
        <v>81</v>
      </c>
      <c r="J108" s="1" t="s">
        <v>195</v>
      </c>
      <c r="L108" s="14" t="str">
        <f t="shared" si="5"/>
        <v>Normal</v>
      </c>
      <c r="M108" t="str">
        <f t="shared" si="6"/>
        <v>Not Eligible</v>
      </c>
      <c r="N108" t="str">
        <f t="shared" si="7"/>
        <v>Not Eligible</v>
      </c>
      <c r="O108" t="str">
        <f t="shared" si="8"/>
        <v>Follow up</v>
      </c>
      <c r="P108" t="str">
        <f t="shared" si="9"/>
        <v>Non Loan Customer</v>
      </c>
    </row>
    <row r="109" spans="1:16" x14ac:dyDescent="0.35">
      <c r="A109" s="1">
        <v>6062</v>
      </c>
      <c r="B109" s="1" t="s">
        <v>128</v>
      </c>
      <c r="C109" s="1" t="s">
        <v>15</v>
      </c>
      <c r="D109" s="1" t="s">
        <v>89</v>
      </c>
      <c r="E109" s="1" t="s">
        <v>72</v>
      </c>
      <c r="F109" s="1">
        <v>143469</v>
      </c>
      <c r="G109" s="1">
        <v>147504</v>
      </c>
      <c r="H109" s="1" t="s">
        <v>69</v>
      </c>
      <c r="I109" s="1" t="s">
        <v>79</v>
      </c>
      <c r="J109" s="1" t="s">
        <v>196</v>
      </c>
      <c r="L109" s="14" t="str">
        <f t="shared" si="5"/>
        <v>Normal</v>
      </c>
      <c r="M109" t="str">
        <f t="shared" si="6"/>
        <v>Salary Eligible</v>
      </c>
      <c r="N109" t="str">
        <f t="shared" si="7"/>
        <v>Auto-loan Eligible</v>
      </c>
      <c r="O109" t="str">
        <f t="shared" si="8"/>
        <v>Do Not Contact</v>
      </c>
      <c r="P109" t="str">
        <f t="shared" si="9"/>
        <v>Loan Customer</v>
      </c>
    </row>
    <row r="110" spans="1:16" x14ac:dyDescent="0.35">
      <c r="A110" s="1">
        <v>1270</v>
      </c>
      <c r="B110" s="1" t="s">
        <v>94</v>
      </c>
      <c r="C110" s="1" t="s">
        <v>17</v>
      </c>
      <c r="D110" s="1" t="s">
        <v>75</v>
      </c>
      <c r="E110" s="1" t="s">
        <v>72</v>
      </c>
      <c r="F110" s="1">
        <v>369261</v>
      </c>
      <c r="G110" s="1">
        <v>92619</v>
      </c>
      <c r="H110" s="1" t="s">
        <v>69</v>
      </c>
      <c r="I110" s="1" t="s">
        <v>81</v>
      </c>
      <c r="J110" s="1" t="s">
        <v>197</v>
      </c>
      <c r="L110" s="14" t="str">
        <f t="shared" si="5"/>
        <v>premium</v>
      </c>
      <c r="M110" t="str">
        <f t="shared" si="6"/>
        <v>Salary Eligible</v>
      </c>
      <c r="N110" t="str">
        <f t="shared" si="7"/>
        <v>Auto-loan Eligible</v>
      </c>
      <c r="O110" t="str">
        <f t="shared" si="8"/>
        <v>Follow up</v>
      </c>
      <c r="P110" t="str">
        <f t="shared" si="9"/>
        <v>Loan Customer</v>
      </c>
    </row>
    <row r="111" spans="1:16" x14ac:dyDescent="0.35">
      <c r="A111" s="1">
        <v>5933</v>
      </c>
      <c r="B111" s="1" t="s">
        <v>96</v>
      </c>
      <c r="C111" s="1" t="s">
        <v>17</v>
      </c>
      <c r="D111" s="1" t="s">
        <v>64</v>
      </c>
      <c r="E111" s="1" t="s">
        <v>75</v>
      </c>
      <c r="F111" s="1">
        <v>298934</v>
      </c>
      <c r="G111" s="1">
        <v>60129</v>
      </c>
      <c r="H111" s="1" t="s">
        <v>65</v>
      </c>
      <c r="I111" s="1" t="s">
        <v>66</v>
      </c>
      <c r="J111" s="1" t="s">
        <v>83</v>
      </c>
      <c r="L111" s="14" t="str">
        <f t="shared" si="5"/>
        <v>Normal</v>
      </c>
      <c r="M111" t="str">
        <f t="shared" si="6"/>
        <v>Salary Eligible</v>
      </c>
      <c r="N111" t="str">
        <f t="shared" si="7"/>
        <v>Not Eligible</v>
      </c>
      <c r="O111" t="str">
        <f t="shared" si="8"/>
        <v>Follow up</v>
      </c>
      <c r="P111" t="str">
        <f t="shared" si="9"/>
        <v>Non Loan Customer</v>
      </c>
    </row>
    <row r="112" spans="1:16" x14ac:dyDescent="0.35">
      <c r="A112" s="1">
        <v>9377</v>
      </c>
      <c r="B112" s="1" t="s">
        <v>8</v>
      </c>
      <c r="C112" s="1" t="s">
        <v>15</v>
      </c>
      <c r="D112" s="1" t="s">
        <v>64</v>
      </c>
      <c r="E112" s="1" t="s">
        <v>64</v>
      </c>
      <c r="F112" s="1">
        <v>241806</v>
      </c>
      <c r="G112" s="1">
        <v>69751</v>
      </c>
      <c r="H112" s="1" t="s">
        <v>69</v>
      </c>
      <c r="I112" s="1" t="s">
        <v>66</v>
      </c>
      <c r="J112" s="1" t="s">
        <v>198</v>
      </c>
      <c r="L112" s="14" t="str">
        <f t="shared" si="5"/>
        <v>Normal</v>
      </c>
      <c r="M112" t="str">
        <f t="shared" si="6"/>
        <v>Salary Eligible</v>
      </c>
      <c r="N112" t="str">
        <f t="shared" si="7"/>
        <v>Not Eligible</v>
      </c>
      <c r="O112" t="str">
        <f t="shared" si="8"/>
        <v>Follow up</v>
      </c>
      <c r="P112" t="str">
        <f t="shared" si="9"/>
        <v>Loan Customer</v>
      </c>
    </row>
    <row r="113" spans="1:16" x14ac:dyDescent="0.35">
      <c r="A113" s="1">
        <v>3742</v>
      </c>
      <c r="B113" s="1" t="s">
        <v>3</v>
      </c>
      <c r="C113" s="1" t="s">
        <v>17</v>
      </c>
      <c r="D113" s="1" t="s">
        <v>20</v>
      </c>
      <c r="E113" s="1" t="s">
        <v>72</v>
      </c>
      <c r="F113" s="1">
        <v>580537</v>
      </c>
      <c r="G113" s="1">
        <v>157784</v>
      </c>
      <c r="H113" s="1" t="s">
        <v>65</v>
      </c>
      <c r="I113" s="1" t="s">
        <v>79</v>
      </c>
      <c r="J113" s="1" t="s">
        <v>199</v>
      </c>
      <c r="L113" s="14" t="str">
        <f t="shared" si="5"/>
        <v>premium</v>
      </c>
      <c r="M113" t="str">
        <f t="shared" si="6"/>
        <v>Salary Eligible</v>
      </c>
      <c r="N113" t="str">
        <f t="shared" si="7"/>
        <v>Auto-loan Eligible</v>
      </c>
      <c r="O113" t="str">
        <f t="shared" si="8"/>
        <v>Do Not Contact</v>
      </c>
      <c r="P113" t="str">
        <f t="shared" si="9"/>
        <v>Non Loan Customer</v>
      </c>
    </row>
    <row r="114" spans="1:16" x14ac:dyDescent="0.35">
      <c r="A114" s="1">
        <v>1648</v>
      </c>
      <c r="B114" s="1" t="s">
        <v>177</v>
      </c>
      <c r="C114" s="1" t="s">
        <v>17</v>
      </c>
      <c r="D114" s="1" t="s">
        <v>75</v>
      </c>
      <c r="E114" s="1" t="s">
        <v>64</v>
      </c>
      <c r="F114" s="1">
        <v>410876</v>
      </c>
      <c r="G114" s="1">
        <v>49873</v>
      </c>
      <c r="H114" s="1" t="s">
        <v>69</v>
      </c>
      <c r="I114" s="1" t="s">
        <v>66</v>
      </c>
      <c r="J114" s="1" t="s">
        <v>200</v>
      </c>
      <c r="L114" s="14" t="str">
        <f t="shared" si="5"/>
        <v>premium</v>
      </c>
      <c r="M114" t="str">
        <f t="shared" si="6"/>
        <v>Not Eligible</v>
      </c>
      <c r="N114" t="str">
        <f t="shared" si="7"/>
        <v>Not Eligible</v>
      </c>
      <c r="O114" t="str">
        <f t="shared" si="8"/>
        <v>Follow up</v>
      </c>
      <c r="P114" t="str">
        <f t="shared" si="9"/>
        <v>Loan Customer</v>
      </c>
    </row>
    <row r="115" spans="1:16" x14ac:dyDescent="0.35">
      <c r="A115" s="1">
        <v>8931</v>
      </c>
      <c r="B115" s="1" t="s">
        <v>9</v>
      </c>
      <c r="C115" s="1" t="s">
        <v>16</v>
      </c>
      <c r="D115" s="1" t="s">
        <v>20</v>
      </c>
      <c r="E115" s="1" t="s">
        <v>20</v>
      </c>
      <c r="F115" s="1">
        <v>283987</v>
      </c>
      <c r="G115" s="1">
        <v>20972</v>
      </c>
      <c r="H115" s="1" t="s">
        <v>65</v>
      </c>
      <c r="I115" s="1" t="s">
        <v>66</v>
      </c>
      <c r="J115" s="1" t="s">
        <v>190</v>
      </c>
      <c r="L115" s="14" t="str">
        <f t="shared" si="5"/>
        <v>Normal</v>
      </c>
      <c r="M115" t="str">
        <f t="shared" si="6"/>
        <v>Not Eligible</v>
      </c>
      <c r="N115" t="str">
        <f t="shared" si="7"/>
        <v>Not Eligible</v>
      </c>
      <c r="O115" t="str">
        <f t="shared" si="8"/>
        <v>Follow up</v>
      </c>
      <c r="P115" t="str">
        <f t="shared" si="9"/>
        <v>Non Loan Customer</v>
      </c>
    </row>
    <row r="116" spans="1:16" x14ac:dyDescent="0.35">
      <c r="A116" s="1">
        <v>1605</v>
      </c>
      <c r="B116" s="1" t="s">
        <v>13</v>
      </c>
      <c r="C116" s="1" t="s">
        <v>16</v>
      </c>
      <c r="D116" s="1" t="s">
        <v>89</v>
      </c>
      <c r="E116" s="1" t="s">
        <v>18</v>
      </c>
      <c r="F116" s="1">
        <v>368016</v>
      </c>
      <c r="G116" s="1">
        <v>122665</v>
      </c>
      <c r="H116" s="1" t="s">
        <v>69</v>
      </c>
      <c r="I116" s="1" t="s">
        <v>79</v>
      </c>
      <c r="J116" s="1" t="s">
        <v>201</v>
      </c>
      <c r="L116" s="14" t="str">
        <f t="shared" si="5"/>
        <v>premium</v>
      </c>
      <c r="M116" t="str">
        <f t="shared" si="6"/>
        <v>Salary Eligible</v>
      </c>
      <c r="N116" t="str">
        <f t="shared" si="7"/>
        <v>Auto-loan Eligible</v>
      </c>
      <c r="O116" t="str">
        <f t="shared" si="8"/>
        <v>Do Not Contact</v>
      </c>
      <c r="P116" t="str">
        <f t="shared" si="9"/>
        <v>Loan Customer</v>
      </c>
    </row>
    <row r="117" spans="1:16" x14ac:dyDescent="0.35">
      <c r="A117" s="1">
        <v>9119</v>
      </c>
      <c r="B117" s="1" t="s">
        <v>102</v>
      </c>
      <c r="C117" s="1" t="s">
        <v>17</v>
      </c>
      <c r="D117" s="1" t="s">
        <v>89</v>
      </c>
      <c r="E117" s="1" t="s">
        <v>18</v>
      </c>
      <c r="F117" s="1">
        <v>13241</v>
      </c>
      <c r="G117" s="1">
        <v>33439</v>
      </c>
      <c r="H117" s="1" t="s">
        <v>69</v>
      </c>
      <c r="I117" s="1" t="s">
        <v>66</v>
      </c>
      <c r="J117" s="1" t="s">
        <v>138</v>
      </c>
      <c r="L117" s="14" t="str">
        <f t="shared" si="5"/>
        <v>Normal</v>
      </c>
      <c r="M117" t="str">
        <f t="shared" si="6"/>
        <v>Not Eligible</v>
      </c>
      <c r="N117" t="str">
        <f t="shared" si="7"/>
        <v>Not Eligible</v>
      </c>
      <c r="O117" t="str">
        <f t="shared" si="8"/>
        <v>Follow up</v>
      </c>
      <c r="P117" t="str">
        <f t="shared" si="9"/>
        <v>Loan Customer</v>
      </c>
    </row>
    <row r="118" spans="1:16" x14ac:dyDescent="0.35">
      <c r="A118" s="1">
        <v>7905</v>
      </c>
      <c r="B118" s="1" t="s">
        <v>8</v>
      </c>
      <c r="C118" s="1" t="s">
        <v>17</v>
      </c>
      <c r="D118" s="1" t="s">
        <v>89</v>
      </c>
      <c r="E118" s="1" t="s">
        <v>18</v>
      </c>
      <c r="F118" s="1">
        <v>491142</v>
      </c>
      <c r="G118" s="1">
        <v>14750</v>
      </c>
      <c r="H118" s="1" t="s">
        <v>65</v>
      </c>
      <c r="I118" s="1" t="s">
        <v>79</v>
      </c>
      <c r="J118" s="1" t="s">
        <v>202</v>
      </c>
      <c r="L118" s="14" t="str">
        <f t="shared" si="5"/>
        <v>premium</v>
      </c>
      <c r="M118" t="str">
        <f t="shared" si="6"/>
        <v>Not Eligible</v>
      </c>
      <c r="N118" t="str">
        <f t="shared" si="7"/>
        <v>Not Eligible</v>
      </c>
      <c r="O118" t="str">
        <f t="shared" si="8"/>
        <v>Do Not Contact</v>
      </c>
      <c r="P118" t="str">
        <f t="shared" si="9"/>
        <v>Non Loan Customer</v>
      </c>
    </row>
    <row r="119" spans="1:16" x14ac:dyDescent="0.35">
      <c r="A119" s="1">
        <v>3688</v>
      </c>
      <c r="B119" s="1" t="s">
        <v>92</v>
      </c>
      <c r="C119" s="1" t="s">
        <v>15</v>
      </c>
      <c r="D119" s="1" t="s">
        <v>75</v>
      </c>
      <c r="E119" s="1" t="s">
        <v>64</v>
      </c>
      <c r="F119" s="1">
        <v>39265</v>
      </c>
      <c r="G119" s="1">
        <v>140761</v>
      </c>
      <c r="H119" s="1" t="s">
        <v>65</v>
      </c>
      <c r="I119" s="1" t="s">
        <v>79</v>
      </c>
      <c r="J119" s="1" t="s">
        <v>203</v>
      </c>
      <c r="L119" s="14" t="str">
        <f t="shared" si="5"/>
        <v>Normal</v>
      </c>
      <c r="M119" t="str">
        <f t="shared" si="6"/>
        <v>Salary Eligible</v>
      </c>
      <c r="N119" t="str">
        <f t="shared" si="7"/>
        <v>Not Eligible</v>
      </c>
      <c r="O119" t="str">
        <f t="shared" si="8"/>
        <v>Do Not Contact</v>
      </c>
      <c r="P119" t="str">
        <f t="shared" si="9"/>
        <v>Non Loan Customer</v>
      </c>
    </row>
    <row r="120" spans="1:16" x14ac:dyDescent="0.35">
      <c r="A120" s="1">
        <v>2627</v>
      </c>
      <c r="B120" s="1" t="s">
        <v>13</v>
      </c>
      <c r="C120" s="1" t="s">
        <v>17</v>
      </c>
      <c r="D120" s="1" t="s">
        <v>72</v>
      </c>
      <c r="E120" s="1" t="s">
        <v>19</v>
      </c>
      <c r="F120" s="1">
        <v>769230</v>
      </c>
      <c r="G120" s="1">
        <v>65143</v>
      </c>
      <c r="H120" s="1" t="s">
        <v>65</v>
      </c>
      <c r="I120" s="1" t="s">
        <v>66</v>
      </c>
      <c r="J120" s="1" t="s">
        <v>204</v>
      </c>
      <c r="L120" s="14" t="str">
        <f t="shared" si="5"/>
        <v>premium</v>
      </c>
      <c r="M120" t="str">
        <f t="shared" si="6"/>
        <v>Salary Eligible</v>
      </c>
      <c r="N120" t="str">
        <f t="shared" si="7"/>
        <v>Not Eligible</v>
      </c>
      <c r="O120" t="str">
        <f t="shared" si="8"/>
        <v>Follow up</v>
      </c>
      <c r="P120" t="str">
        <f t="shared" si="9"/>
        <v>Non Loan Customer</v>
      </c>
    </row>
    <row r="121" spans="1:16" x14ac:dyDescent="0.35">
      <c r="A121" s="1">
        <v>4052</v>
      </c>
      <c r="B121" s="1" t="s">
        <v>77</v>
      </c>
      <c r="C121" s="1" t="s">
        <v>16</v>
      </c>
      <c r="D121" s="1" t="s">
        <v>19</v>
      </c>
      <c r="E121" s="1" t="s">
        <v>89</v>
      </c>
      <c r="F121" s="1">
        <v>307912</v>
      </c>
      <c r="G121" s="1">
        <v>110648</v>
      </c>
      <c r="H121" s="1" t="s">
        <v>65</v>
      </c>
      <c r="I121" s="1" t="s">
        <v>66</v>
      </c>
      <c r="J121" s="1" t="s">
        <v>192</v>
      </c>
      <c r="L121" s="14" t="str">
        <f t="shared" si="5"/>
        <v>premium</v>
      </c>
      <c r="M121" t="str">
        <f t="shared" si="6"/>
        <v>Salary Eligible</v>
      </c>
      <c r="N121" t="str">
        <f t="shared" si="7"/>
        <v>Auto-loan Eligible</v>
      </c>
      <c r="O121" t="str">
        <f t="shared" si="8"/>
        <v>Follow up</v>
      </c>
      <c r="P121" t="str">
        <f t="shared" si="9"/>
        <v>Non Loan Customer</v>
      </c>
    </row>
    <row r="122" spans="1:16" x14ac:dyDescent="0.35">
      <c r="A122" s="1">
        <v>4528</v>
      </c>
      <c r="B122" s="1" t="s">
        <v>114</v>
      </c>
      <c r="C122" s="1" t="s">
        <v>16</v>
      </c>
      <c r="D122" s="1" t="s">
        <v>20</v>
      </c>
      <c r="E122" s="1" t="s">
        <v>20</v>
      </c>
      <c r="F122" s="1">
        <v>335442</v>
      </c>
      <c r="G122" s="1">
        <v>183633</v>
      </c>
      <c r="H122" s="1" t="s">
        <v>65</v>
      </c>
      <c r="I122" s="1" t="s">
        <v>79</v>
      </c>
      <c r="J122" s="1" t="s">
        <v>205</v>
      </c>
      <c r="L122" s="14" t="str">
        <f t="shared" si="5"/>
        <v>premium</v>
      </c>
      <c r="M122" t="str">
        <f t="shared" si="6"/>
        <v>Salary Eligible</v>
      </c>
      <c r="N122" t="str">
        <f t="shared" si="7"/>
        <v>Auto-loan Eligible</v>
      </c>
      <c r="O122" t="str">
        <f t="shared" si="8"/>
        <v>Do Not Contact</v>
      </c>
      <c r="P122" t="str">
        <f t="shared" si="9"/>
        <v>Non Loan Customer</v>
      </c>
    </row>
    <row r="123" spans="1:16" x14ac:dyDescent="0.35">
      <c r="A123" s="1">
        <v>3906</v>
      </c>
      <c r="B123" s="1" t="s">
        <v>71</v>
      </c>
      <c r="C123" s="1" t="s">
        <v>17</v>
      </c>
      <c r="D123" s="1" t="s">
        <v>19</v>
      </c>
      <c r="E123" s="1" t="s">
        <v>75</v>
      </c>
      <c r="F123" s="1">
        <v>381576</v>
      </c>
      <c r="G123" s="1">
        <v>185876</v>
      </c>
      <c r="H123" s="1" t="s">
        <v>69</v>
      </c>
      <c r="I123" s="1" t="s">
        <v>66</v>
      </c>
      <c r="J123" s="1" t="s">
        <v>206</v>
      </c>
      <c r="L123" s="14" t="str">
        <f t="shared" si="5"/>
        <v>premium</v>
      </c>
      <c r="M123" t="str">
        <f t="shared" si="6"/>
        <v>Salary Eligible</v>
      </c>
      <c r="N123" t="str">
        <f t="shared" si="7"/>
        <v>Auto-loan Eligible</v>
      </c>
      <c r="O123" t="str">
        <f t="shared" si="8"/>
        <v>Follow up</v>
      </c>
      <c r="P123" t="str">
        <f t="shared" si="9"/>
        <v>Loan Customer</v>
      </c>
    </row>
    <row r="124" spans="1:16" x14ac:dyDescent="0.35">
      <c r="A124" s="1">
        <v>2413</v>
      </c>
      <c r="B124" s="1" t="s">
        <v>108</v>
      </c>
      <c r="C124" s="1" t="s">
        <v>16</v>
      </c>
      <c r="D124" s="1" t="s">
        <v>72</v>
      </c>
      <c r="E124" s="1" t="s">
        <v>75</v>
      </c>
      <c r="F124" s="1">
        <v>388706</v>
      </c>
      <c r="G124" s="1">
        <v>107344</v>
      </c>
      <c r="H124" s="1" t="s">
        <v>69</v>
      </c>
      <c r="I124" s="1" t="s">
        <v>66</v>
      </c>
      <c r="J124" s="1" t="s">
        <v>207</v>
      </c>
      <c r="L124" s="14" t="str">
        <f t="shared" si="5"/>
        <v>premium</v>
      </c>
      <c r="M124" t="str">
        <f t="shared" si="6"/>
        <v>Salary Eligible</v>
      </c>
      <c r="N124" t="str">
        <f t="shared" si="7"/>
        <v>Auto-loan Eligible</v>
      </c>
      <c r="O124" t="str">
        <f t="shared" si="8"/>
        <v>Follow up</v>
      </c>
      <c r="P124" t="str">
        <f t="shared" si="9"/>
        <v>Loan Customer</v>
      </c>
    </row>
    <row r="125" spans="1:16" x14ac:dyDescent="0.35">
      <c r="A125" s="1">
        <v>2843</v>
      </c>
      <c r="B125" s="1" t="s">
        <v>94</v>
      </c>
      <c r="C125" s="1" t="s">
        <v>17</v>
      </c>
      <c r="D125" s="1" t="s">
        <v>72</v>
      </c>
      <c r="E125" s="1" t="s">
        <v>18</v>
      </c>
      <c r="F125" s="1">
        <v>246919</v>
      </c>
      <c r="G125" s="1">
        <v>40861</v>
      </c>
      <c r="H125" s="1" t="s">
        <v>69</v>
      </c>
      <c r="I125" s="1" t="s">
        <v>66</v>
      </c>
      <c r="J125" s="1" t="s">
        <v>208</v>
      </c>
      <c r="L125" s="14" t="str">
        <f t="shared" si="5"/>
        <v>Normal</v>
      </c>
      <c r="M125" t="str">
        <f t="shared" si="6"/>
        <v>Not Eligible</v>
      </c>
      <c r="N125" t="str">
        <f t="shared" si="7"/>
        <v>Not Eligible</v>
      </c>
      <c r="O125" t="str">
        <f t="shared" si="8"/>
        <v>Follow up</v>
      </c>
      <c r="P125" t="str">
        <f t="shared" si="9"/>
        <v>Loan Customer</v>
      </c>
    </row>
    <row r="126" spans="1:16" x14ac:dyDescent="0.35">
      <c r="A126" s="1">
        <v>1486</v>
      </c>
      <c r="B126" s="1" t="s">
        <v>96</v>
      </c>
      <c r="C126" s="1" t="s">
        <v>17</v>
      </c>
      <c r="D126" s="1" t="s">
        <v>18</v>
      </c>
      <c r="E126" s="1" t="s">
        <v>75</v>
      </c>
      <c r="F126" s="1">
        <v>297187</v>
      </c>
      <c r="G126" s="1">
        <v>98045</v>
      </c>
      <c r="H126" s="1" t="s">
        <v>69</v>
      </c>
      <c r="I126" s="1" t="s">
        <v>79</v>
      </c>
      <c r="J126" s="1" t="s">
        <v>209</v>
      </c>
      <c r="L126" s="14" t="str">
        <f t="shared" si="5"/>
        <v>Normal</v>
      </c>
      <c r="M126" t="str">
        <f t="shared" si="6"/>
        <v>Salary Eligible</v>
      </c>
      <c r="N126" t="str">
        <f t="shared" si="7"/>
        <v>Auto-loan Eligible</v>
      </c>
      <c r="O126" t="str">
        <f t="shared" si="8"/>
        <v>Do Not Contact</v>
      </c>
      <c r="P126" t="str">
        <f t="shared" si="9"/>
        <v>Loan Customer</v>
      </c>
    </row>
    <row r="127" spans="1:16" x14ac:dyDescent="0.35">
      <c r="A127" s="1">
        <v>5168</v>
      </c>
      <c r="B127" s="1" t="s">
        <v>85</v>
      </c>
      <c r="C127" s="1" t="s">
        <v>15</v>
      </c>
      <c r="D127" s="1" t="s">
        <v>64</v>
      </c>
      <c r="E127" s="1" t="s">
        <v>19</v>
      </c>
      <c r="F127" s="1">
        <v>433442</v>
      </c>
      <c r="G127" s="1">
        <v>180052</v>
      </c>
      <c r="H127" s="1" t="s">
        <v>69</v>
      </c>
      <c r="I127" s="1" t="s">
        <v>66</v>
      </c>
      <c r="J127" s="1" t="s">
        <v>210</v>
      </c>
      <c r="L127" s="14" t="str">
        <f t="shared" si="5"/>
        <v>premium</v>
      </c>
      <c r="M127" t="str">
        <f t="shared" si="6"/>
        <v>Salary Eligible</v>
      </c>
      <c r="N127" t="str">
        <f t="shared" si="7"/>
        <v>Auto-loan Eligible</v>
      </c>
      <c r="O127" t="str">
        <f t="shared" si="8"/>
        <v>Follow up</v>
      </c>
      <c r="P127" t="str">
        <f t="shared" si="9"/>
        <v>Loan Customer</v>
      </c>
    </row>
    <row r="128" spans="1:16" x14ac:dyDescent="0.35">
      <c r="A128" s="1">
        <v>9247</v>
      </c>
      <c r="B128" s="1" t="s">
        <v>85</v>
      </c>
      <c r="C128" s="1" t="s">
        <v>17</v>
      </c>
      <c r="D128" s="1" t="s">
        <v>18</v>
      </c>
      <c r="E128" s="1" t="s">
        <v>19</v>
      </c>
      <c r="F128" s="1">
        <v>451485</v>
      </c>
      <c r="G128" s="1">
        <v>75046</v>
      </c>
      <c r="H128" s="1" t="s">
        <v>65</v>
      </c>
      <c r="I128" s="1" t="s">
        <v>79</v>
      </c>
      <c r="J128" s="1" t="s">
        <v>211</v>
      </c>
      <c r="L128" s="14" t="str">
        <f t="shared" si="5"/>
        <v>premium</v>
      </c>
      <c r="M128" t="str">
        <f t="shared" si="6"/>
        <v>Salary Eligible</v>
      </c>
      <c r="N128" t="str">
        <f t="shared" si="7"/>
        <v>Auto-loan Eligible</v>
      </c>
      <c r="O128" t="str">
        <f t="shared" si="8"/>
        <v>Do Not Contact</v>
      </c>
      <c r="P128" t="str">
        <f t="shared" si="9"/>
        <v>Non Loan Customer</v>
      </c>
    </row>
    <row r="129" spans="1:16" x14ac:dyDescent="0.35">
      <c r="A129" s="1">
        <v>4648</v>
      </c>
      <c r="B129" s="1" t="s">
        <v>94</v>
      </c>
      <c r="C129" s="1" t="s">
        <v>16</v>
      </c>
      <c r="D129" s="1" t="s">
        <v>19</v>
      </c>
      <c r="E129" s="1" t="s">
        <v>72</v>
      </c>
      <c r="F129" s="1">
        <v>770698</v>
      </c>
      <c r="G129" s="1">
        <v>113895</v>
      </c>
      <c r="H129" s="1" t="s">
        <v>69</v>
      </c>
      <c r="I129" s="1" t="s">
        <v>66</v>
      </c>
      <c r="J129" s="1" t="s">
        <v>212</v>
      </c>
      <c r="L129" s="14" t="str">
        <f t="shared" si="5"/>
        <v>premium</v>
      </c>
      <c r="M129" t="str">
        <f t="shared" si="6"/>
        <v>Salary Eligible</v>
      </c>
      <c r="N129" t="str">
        <f t="shared" si="7"/>
        <v>Auto-loan Eligible</v>
      </c>
      <c r="O129" t="str">
        <f t="shared" si="8"/>
        <v>Follow up</v>
      </c>
      <c r="P129" t="str">
        <f t="shared" si="9"/>
        <v>Loan Customer</v>
      </c>
    </row>
    <row r="130" spans="1:16" x14ac:dyDescent="0.35">
      <c r="A130" s="1">
        <v>2480</v>
      </c>
      <c r="B130" s="1" t="s">
        <v>3</v>
      </c>
      <c r="C130" s="1" t="s">
        <v>15</v>
      </c>
      <c r="D130" s="1" t="s">
        <v>20</v>
      </c>
      <c r="E130" s="1" t="s">
        <v>72</v>
      </c>
      <c r="F130" s="1">
        <v>832400</v>
      </c>
      <c r="G130" s="1">
        <v>180692</v>
      </c>
      <c r="H130" s="1" t="s">
        <v>69</v>
      </c>
      <c r="I130" s="1" t="s">
        <v>66</v>
      </c>
      <c r="J130" s="1" t="s">
        <v>213</v>
      </c>
      <c r="L130" s="14" t="str">
        <f t="shared" si="5"/>
        <v>premium</v>
      </c>
      <c r="M130" t="str">
        <f t="shared" si="6"/>
        <v>Salary Eligible</v>
      </c>
      <c r="N130" t="str">
        <f t="shared" si="7"/>
        <v>Auto-loan Eligible</v>
      </c>
      <c r="O130" t="str">
        <f t="shared" si="8"/>
        <v>Follow up</v>
      </c>
      <c r="P130" t="str">
        <f t="shared" si="9"/>
        <v>Loan Customer</v>
      </c>
    </row>
    <row r="131" spans="1:16" x14ac:dyDescent="0.35">
      <c r="A131" s="1">
        <v>3067</v>
      </c>
      <c r="B131" s="1" t="s">
        <v>4</v>
      </c>
      <c r="C131" s="1" t="s">
        <v>17</v>
      </c>
      <c r="D131" s="1" t="s">
        <v>72</v>
      </c>
      <c r="E131" s="1" t="s">
        <v>19</v>
      </c>
      <c r="F131" s="1">
        <v>79916</v>
      </c>
      <c r="G131" s="1">
        <v>145717</v>
      </c>
      <c r="H131" s="1" t="s">
        <v>69</v>
      </c>
      <c r="I131" s="1" t="s">
        <v>79</v>
      </c>
      <c r="J131" s="1" t="s">
        <v>214</v>
      </c>
      <c r="L131" s="14" t="str">
        <f t="shared" ref="L131:L194" si="10">IF(F131&gt;300000,"premium","Normal")</f>
        <v>Normal</v>
      </c>
      <c r="M131" t="str">
        <f t="shared" ref="M131:M194" si="11">IF(G131&gt;50000,"Salary Eligible","Not Eligible")</f>
        <v>Salary Eligible</v>
      </c>
      <c r="N131" t="str">
        <f t="shared" ref="N131:N194" si="12">IF(AND(G131&gt;75000,F131&gt;100000),"Auto-loan Eligible","Not Eligible")</f>
        <v>Not Eligible</v>
      </c>
      <c r="O131" t="str">
        <f t="shared" ref="O131:O194" si="13">IF(I131="Closed","Do Not Contact","Follow up")</f>
        <v>Do Not Contact</v>
      </c>
      <c r="P131" t="str">
        <f t="shared" ref="P131:P194" si="14">IF(H131="yes","Loan Customer","Non Loan Customer")</f>
        <v>Loan Customer</v>
      </c>
    </row>
    <row r="132" spans="1:16" x14ac:dyDescent="0.35">
      <c r="A132" s="1">
        <v>8258</v>
      </c>
      <c r="B132" s="1" t="s">
        <v>96</v>
      </c>
      <c r="C132" s="1" t="s">
        <v>15</v>
      </c>
      <c r="D132" s="1" t="s">
        <v>75</v>
      </c>
      <c r="E132" s="1" t="s">
        <v>89</v>
      </c>
      <c r="F132" s="1">
        <v>623921</v>
      </c>
      <c r="G132" s="1">
        <v>75347</v>
      </c>
      <c r="H132" s="1" t="s">
        <v>69</v>
      </c>
      <c r="I132" s="1" t="s">
        <v>79</v>
      </c>
      <c r="J132" s="1" t="s">
        <v>215</v>
      </c>
      <c r="L132" s="14" t="str">
        <f t="shared" si="10"/>
        <v>premium</v>
      </c>
      <c r="M132" t="str">
        <f t="shared" si="11"/>
        <v>Salary Eligible</v>
      </c>
      <c r="N132" t="str">
        <f t="shared" si="12"/>
        <v>Auto-loan Eligible</v>
      </c>
      <c r="O132" t="str">
        <f t="shared" si="13"/>
        <v>Do Not Contact</v>
      </c>
      <c r="P132" t="str">
        <f t="shared" si="14"/>
        <v>Loan Customer</v>
      </c>
    </row>
    <row r="133" spans="1:16" x14ac:dyDescent="0.35">
      <c r="A133" s="1">
        <v>7204</v>
      </c>
      <c r="B133" s="1" t="s">
        <v>68</v>
      </c>
      <c r="C133" s="1" t="s">
        <v>16</v>
      </c>
      <c r="D133" s="1" t="s">
        <v>18</v>
      </c>
      <c r="E133" s="1" t="s">
        <v>19</v>
      </c>
      <c r="F133" s="1">
        <v>496604</v>
      </c>
      <c r="G133" s="1">
        <v>54882</v>
      </c>
      <c r="H133" s="1" t="s">
        <v>69</v>
      </c>
      <c r="I133" s="1" t="s">
        <v>66</v>
      </c>
      <c r="J133" s="1" t="s">
        <v>216</v>
      </c>
      <c r="L133" s="14" t="str">
        <f t="shared" si="10"/>
        <v>premium</v>
      </c>
      <c r="M133" t="str">
        <f t="shared" si="11"/>
        <v>Salary Eligible</v>
      </c>
      <c r="N133" t="str">
        <f t="shared" si="12"/>
        <v>Not Eligible</v>
      </c>
      <c r="O133" t="str">
        <f t="shared" si="13"/>
        <v>Follow up</v>
      </c>
      <c r="P133" t="str">
        <f t="shared" si="14"/>
        <v>Loan Customer</v>
      </c>
    </row>
    <row r="134" spans="1:16" x14ac:dyDescent="0.35">
      <c r="A134" s="1">
        <v>9833</v>
      </c>
      <c r="B134" s="1" t="s">
        <v>14</v>
      </c>
      <c r="C134" s="1" t="s">
        <v>15</v>
      </c>
      <c r="D134" s="1" t="s">
        <v>20</v>
      </c>
      <c r="E134" s="1" t="s">
        <v>72</v>
      </c>
      <c r="F134" s="1">
        <v>817376</v>
      </c>
      <c r="G134" s="1">
        <v>30843</v>
      </c>
      <c r="H134" s="1" t="s">
        <v>69</v>
      </c>
      <c r="I134" s="1" t="s">
        <v>66</v>
      </c>
      <c r="J134" s="1" t="s">
        <v>217</v>
      </c>
      <c r="L134" s="14" t="str">
        <f t="shared" si="10"/>
        <v>premium</v>
      </c>
      <c r="M134" t="str">
        <f t="shared" si="11"/>
        <v>Not Eligible</v>
      </c>
      <c r="N134" t="str">
        <f t="shared" si="12"/>
        <v>Not Eligible</v>
      </c>
      <c r="O134" t="str">
        <f t="shared" si="13"/>
        <v>Follow up</v>
      </c>
      <c r="P134" t="str">
        <f t="shared" si="14"/>
        <v>Loan Customer</v>
      </c>
    </row>
    <row r="135" spans="1:16" x14ac:dyDescent="0.35">
      <c r="A135" s="1">
        <v>5224</v>
      </c>
      <c r="B135" s="1" t="s">
        <v>99</v>
      </c>
      <c r="C135" s="1" t="s">
        <v>15</v>
      </c>
      <c r="D135" s="1" t="s">
        <v>18</v>
      </c>
      <c r="E135" s="1" t="s">
        <v>20</v>
      </c>
      <c r="F135" s="1">
        <v>507471</v>
      </c>
      <c r="G135" s="1">
        <v>21660</v>
      </c>
      <c r="H135" s="1" t="s">
        <v>65</v>
      </c>
      <c r="I135" s="1" t="s">
        <v>79</v>
      </c>
      <c r="J135" s="1" t="s">
        <v>218</v>
      </c>
      <c r="L135" s="14" t="str">
        <f t="shared" si="10"/>
        <v>premium</v>
      </c>
      <c r="M135" t="str">
        <f t="shared" si="11"/>
        <v>Not Eligible</v>
      </c>
      <c r="N135" t="str">
        <f t="shared" si="12"/>
        <v>Not Eligible</v>
      </c>
      <c r="O135" t="str">
        <f t="shared" si="13"/>
        <v>Do Not Contact</v>
      </c>
      <c r="P135" t="str">
        <f t="shared" si="14"/>
        <v>Non Loan Customer</v>
      </c>
    </row>
    <row r="136" spans="1:16" x14ac:dyDescent="0.35">
      <c r="A136" s="1">
        <v>3306</v>
      </c>
      <c r="B136" s="1" t="s">
        <v>9</v>
      </c>
      <c r="C136" s="1" t="s">
        <v>15</v>
      </c>
      <c r="D136" s="1" t="s">
        <v>89</v>
      </c>
      <c r="E136" s="1" t="s">
        <v>75</v>
      </c>
      <c r="F136" s="1">
        <v>656531</v>
      </c>
      <c r="G136" s="1">
        <v>12947</v>
      </c>
      <c r="H136" s="1" t="s">
        <v>65</v>
      </c>
      <c r="I136" s="1" t="s">
        <v>81</v>
      </c>
      <c r="J136" s="1" t="s">
        <v>219</v>
      </c>
      <c r="L136" s="14" t="str">
        <f t="shared" si="10"/>
        <v>premium</v>
      </c>
      <c r="M136" t="str">
        <f t="shared" si="11"/>
        <v>Not Eligible</v>
      </c>
      <c r="N136" t="str">
        <f t="shared" si="12"/>
        <v>Not Eligible</v>
      </c>
      <c r="O136" t="str">
        <f t="shared" si="13"/>
        <v>Follow up</v>
      </c>
      <c r="P136" t="str">
        <f t="shared" si="14"/>
        <v>Non Loan Customer</v>
      </c>
    </row>
    <row r="137" spans="1:16" x14ac:dyDescent="0.35">
      <c r="A137" s="1">
        <v>3155</v>
      </c>
      <c r="B137" s="1" t="s">
        <v>4</v>
      </c>
      <c r="C137" s="1" t="s">
        <v>17</v>
      </c>
      <c r="D137" s="1" t="s">
        <v>89</v>
      </c>
      <c r="E137" s="1" t="s">
        <v>72</v>
      </c>
      <c r="F137" s="1">
        <v>51291</v>
      </c>
      <c r="G137" s="1">
        <v>96872</v>
      </c>
      <c r="H137" s="1" t="s">
        <v>65</v>
      </c>
      <c r="I137" s="1" t="s">
        <v>66</v>
      </c>
      <c r="J137" s="1" t="s">
        <v>220</v>
      </c>
      <c r="L137" s="14" t="str">
        <f t="shared" si="10"/>
        <v>Normal</v>
      </c>
      <c r="M137" t="str">
        <f t="shared" si="11"/>
        <v>Salary Eligible</v>
      </c>
      <c r="N137" t="str">
        <f t="shared" si="12"/>
        <v>Not Eligible</v>
      </c>
      <c r="O137" t="str">
        <f t="shared" si="13"/>
        <v>Follow up</v>
      </c>
      <c r="P137" t="str">
        <f t="shared" si="14"/>
        <v>Non Loan Customer</v>
      </c>
    </row>
    <row r="138" spans="1:16" x14ac:dyDescent="0.35">
      <c r="A138" s="1">
        <v>2782</v>
      </c>
      <c r="B138" s="1" t="s">
        <v>14</v>
      </c>
      <c r="C138" s="1" t="s">
        <v>17</v>
      </c>
      <c r="D138" s="1" t="s">
        <v>75</v>
      </c>
      <c r="E138" s="1" t="s">
        <v>89</v>
      </c>
      <c r="F138" s="1">
        <v>868115</v>
      </c>
      <c r="G138" s="1">
        <v>80979</v>
      </c>
      <c r="H138" s="1" t="s">
        <v>65</v>
      </c>
      <c r="I138" s="1" t="s">
        <v>66</v>
      </c>
      <c r="J138" s="1" t="s">
        <v>221</v>
      </c>
      <c r="L138" s="14" t="str">
        <f t="shared" si="10"/>
        <v>premium</v>
      </c>
      <c r="M138" t="str">
        <f t="shared" si="11"/>
        <v>Salary Eligible</v>
      </c>
      <c r="N138" t="str">
        <f t="shared" si="12"/>
        <v>Auto-loan Eligible</v>
      </c>
      <c r="O138" t="str">
        <f t="shared" si="13"/>
        <v>Follow up</v>
      </c>
      <c r="P138" t="str">
        <f t="shared" si="14"/>
        <v>Non Loan Customer</v>
      </c>
    </row>
    <row r="139" spans="1:16" x14ac:dyDescent="0.35">
      <c r="A139" s="1">
        <v>6260</v>
      </c>
      <c r="B139" s="1" t="s">
        <v>10</v>
      </c>
      <c r="C139" s="1" t="s">
        <v>16</v>
      </c>
      <c r="D139" s="1" t="s">
        <v>19</v>
      </c>
      <c r="E139" s="1" t="s">
        <v>89</v>
      </c>
      <c r="F139" s="1">
        <v>363951</v>
      </c>
      <c r="G139" s="1">
        <v>193298</v>
      </c>
      <c r="H139" s="1" t="s">
        <v>69</v>
      </c>
      <c r="I139" s="1" t="s">
        <v>66</v>
      </c>
      <c r="J139" s="1" t="s">
        <v>222</v>
      </c>
      <c r="L139" s="14" t="str">
        <f t="shared" si="10"/>
        <v>premium</v>
      </c>
      <c r="M139" t="str">
        <f t="shared" si="11"/>
        <v>Salary Eligible</v>
      </c>
      <c r="N139" t="str">
        <f t="shared" si="12"/>
        <v>Auto-loan Eligible</v>
      </c>
      <c r="O139" t="str">
        <f t="shared" si="13"/>
        <v>Follow up</v>
      </c>
      <c r="P139" t="str">
        <f t="shared" si="14"/>
        <v>Loan Customer</v>
      </c>
    </row>
    <row r="140" spans="1:16" x14ac:dyDescent="0.35">
      <c r="A140" s="1">
        <v>2064</v>
      </c>
      <c r="B140" s="1" t="s">
        <v>5</v>
      </c>
      <c r="C140" s="1" t="s">
        <v>15</v>
      </c>
      <c r="D140" s="1" t="s">
        <v>20</v>
      </c>
      <c r="E140" s="1" t="s">
        <v>20</v>
      </c>
      <c r="F140" s="1">
        <v>858334</v>
      </c>
      <c r="G140" s="1">
        <v>144100</v>
      </c>
      <c r="H140" s="1" t="s">
        <v>65</v>
      </c>
      <c r="I140" s="1" t="s">
        <v>66</v>
      </c>
      <c r="J140" s="1" t="s">
        <v>223</v>
      </c>
      <c r="L140" s="14" t="str">
        <f t="shared" si="10"/>
        <v>premium</v>
      </c>
      <c r="M140" t="str">
        <f t="shared" si="11"/>
        <v>Salary Eligible</v>
      </c>
      <c r="N140" t="str">
        <f t="shared" si="12"/>
        <v>Auto-loan Eligible</v>
      </c>
      <c r="O140" t="str">
        <f t="shared" si="13"/>
        <v>Follow up</v>
      </c>
      <c r="P140" t="str">
        <f t="shared" si="14"/>
        <v>Non Loan Customer</v>
      </c>
    </row>
    <row r="141" spans="1:16" x14ac:dyDescent="0.35">
      <c r="A141" s="1">
        <v>1248</v>
      </c>
      <c r="B141" s="1" t="s">
        <v>63</v>
      </c>
      <c r="C141" s="1" t="s">
        <v>15</v>
      </c>
      <c r="D141" s="1" t="s">
        <v>75</v>
      </c>
      <c r="E141" s="1" t="s">
        <v>75</v>
      </c>
      <c r="F141" s="1">
        <v>522679</v>
      </c>
      <c r="G141" s="1">
        <v>57566</v>
      </c>
      <c r="H141" s="1" t="s">
        <v>69</v>
      </c>
      <c r="I141" s="1" t="s">
        <v>79</v>
      </c>
      <c r="J141" s="1" t="s">
        <v>224</v>
      </c>
      <c r="L141" s="14" t="str">
        <f t="shared" si="10"/>
        <v>premium</v>
      </c>
      <c r="M141" t="str">
        <f t="shared" si="11"/>
        <v>Salary Eligible</v>
      </c>
      <c r="N141" t="str">
        <f t="shared" si="12"/>
        <v>Not Eligible</v>
      </c>
      <c r="O141" t="str">
        <f t="shared" si="13"/>
        <v>Do Not Contact</v>
      </c>
      <c r="P141" t="str">
        <f t="shared" si="14"/>
        <v>Loan Customer</v>
      </c>
    </row>
    <row r="142" spans="1:16" x14ac:dyDescent="0.35">
      <c r="A142" s="1">
        <v>1179</v>
      </c>
      <c r="B142" s="1" t="s">
        <v>10</v>
      </c>
      <c r="C142" s="1" t="s">
        <v>17</v>
      </c>
      <c r="D142" s="1" t="s">
        <v>75</v>
      </c>
      <c r="E142" s="1" t="s">
        <v>75</v>
      </c>
      <c r="F142" s="1">
        <v>100136</v>
      </c>
      <c r="G142" s="1">
        <v>94726</v>
      </c>
      <c r="H142" s="1" t="s">
        <v>65</v>
      </c>
      <c r="I142" s="1" t="s">
        <v>66</v>
      </c>
      <c r="J142" s="1" t="s">
        <v>225</v>
      </c>
      <c r="L142" s="14" t="str">
        <f t="shared" si="10"/>
        <v>Normal</v>
      </c>
      <c r="M142" t="str">
        <f t="shared" si="11"/>
        <v>Salary Eligible</v>
      </c>
      <c r="N142" t="str">
        <f t="shared" si="12"/>
        <v>Auto-loan Eligible</v>
      </c>
      <c r="O142" t="str">
        <f t="shared" si="13"/>
        <v>Follow up</v>
      </c>
      <c r="P142" t="str">
        <f t="shared" si="14"/>
        <v>Non Loan Customer</v>
      </c>
    </row>
    <row r="143" spans="1:16" x14ac:dyDescent="0.35">
      <c r="A143" s="1">
        <v>4587</v>
      </c>
      <c r="B143" s="1" t="s">
        <v>6</v>
      </c>
      <c r="C143" s="1" t="s">
        <v>15</v>
      </c>
      <c r="D143" s="1" t="s">
        <v>18</v>
      </c>
      <c r="E143" s="1" t="s">
        <v>75</v>
      </c>
      <c r="F143" s="1">
        <v>887042</v>
      </c>
      <c r="G143" s="1">
        <v>33218</v>
      </c>
      <c r="H143" s="1" t="s">
        <v>69</v>
      </c>
      <c r="I143" s="1" t="s">
        <v>81</v>
      </c>
      <c r="J143" s="1" t="s">
        <v>226</v>
      </c>
      <c r="L143" s="14" t="str">
        <f t="shared" si="10"/>
        <v>premium</v>
      </c>
      <c r="M143" t="str">
        <f t="shared" si="11"/>
        <v>Not Eligible</v>
      </c>
      <c r="N143" t="str">
        <f t="shared" si="12"/>
        <v>Not Eligible</v>
      </c>
      <c r="O143" t="str">
        <f t="shared" si="13"/>
        <v>Follow up</v>
      </c>
      <c r="P143" t="str">
        <f t="shared" si="14"/>
        <v>Loan Customer</v>
      </c>
    </row>
    <row r="144" spans="1:16" x14ac:dyDescent="0.35">
      <c r="A144" s="1">
        <v>4490</v>
      </c>
      <c r="B144" s="1" t="s">
        <v>177</v>
      </c>
      <c r="C144" s="1" t="s">
        <v>15</v>
      </c>
      <c r="D144" s="1" t="s">
        <v>64</v>
      </c>
      <c r="E144" s="1" t="s">
        <v>20</v>
      </c>
      <c r="F144" s="1">
        <v>36035</v>
      </c>
      <c r="G144" s="1">
        <v>167901</v>
      </c>
      <c r="H144" s="1" t="s">
        <v>69</v>
      </c>
      <c r="I144" s="1" t="s">
        <v>79</v>
      </c>
      <c r="J144" s="1" t="s">
        <v>227</v>
      </c>
      <c r="L144" s="14" t="str">
        <f t="shared" si="10"/>
        <v>Normal</v>
      </c>
      <c r="M144" t="str">
        <f t="shared" si="11"/>
        <v>Salary Eligible</v>
      </c>
      <c r="N144" t="str">
        <f t="shared" si="12"/>
        <v>Not Eligible</v>
      </c>
      <c r="O144" t="str">
        <f t="shared" si="13"/>
        <v>Do Not Contact</v>
      </c>
      <c r="P144" t="str">
        <f t="shared" si="14"/>
        <v>Loan Customer</v>
      </c>
    </row>
    <row r="145" spans="1:16" x14ac:dyDescent="0.35">
      <c r="A145" s="1">
        <v>4024</v>
      </c>
      <c r="B145" s="1" t="s">
        <v>96</v>
      </c>
      <c r="C145" s="1" t="s">
        <v>16</v>
      </c>
      <c r="D145" s="1" t="s">
        <v>89</v>
      </c>
      <c r="E145" s="1" t="s">
        <v>72</v>
      </c>
      <c r="F145" s="1">
        <v>118923</v>
      </c>
      <c r="G145" s="1">
        <v>41808</v>
      </c>
      <c r="H145" s="1" t="s">
        <v>65</v>
      </c>
      <c r="I145" s="1" t="s">
        <v>66</v>
      </c>
      <c r="J145" s="1" t="s">
        <v>228</v>
      </c>
      <c r="L145" s="14" t="str">
        <f t="shared" si="10"/>
        <v>Normal</v>
      </c>
      <c r="M145" t="str">
        <f t="shared" si="11"/>
        <v>Not Eligible</v>
      </c>
      <c r="N145" t="str">
        <f t="shared" si="12"/>
        <v>Not Eligible</v>
      </c>
      <c r="O145" t="str">
        <f t="shared" si="13"/>
        <v>Follow up</v>
      </c>
      <c r="P145" t="str">
        <f t="shared" si="14"/>
        <v>Non Loan Customer</v>
      </c>
    </row>
    <row r="146" spans="1:16" x14ac:dyDescent="0.35">
      <c r="A146" s="1">
        <v>6516</v>
      </c>
      <c r="B146" s="1" t="s">
        <v>7</v>
      </c>
      <c r="C146" s="1" t="s">
        <v>15</v>
      </c>
      <c r="D146" s="1" t="s">
        <v>64</v>
      </c>
      <c r="E146" s="1" t="s">
        <v>20</v>
      </c>
      <c r="F146" s="1">
        <v>775028</v>
      </c>
      <c r="G146" s="1">
        <v>49565</v>
      </c>
      <c r="H146" s="1" t="s">
        <v>65</v>
      </c>
      <c r="I146" s="1" t="s">
        <v>81</v>
      </c>
      <c r="J146" s="1" t="s">
        <v>229</v>
      </c>
      <c r="L146" s="14" t="str">
        <f t="shared" si="10"/>
        <v>premium</v>
      </c>
      <c r="M146" t="str">
        <f t="shared" si="11"/>
        <v>Not Eligible</v>
      </c>
      <c r="N146" t="str">
        <f t="shared" si="12"/>
        <v>Not Eligible</v>
      </c>
      <c r="O146" t="str">
        <f t="shared" si="13"/>
        <v>Follow up</v>
      </c>
      <c r="P146" t="str">
        <f t="shared" si="14"/>
        <v>Non Loan Customer</v>
      </c>
    </row>
    <row r="147" spans="1:16" x14ac:dyDescent="0.35">
      <c r="A147" s="1">
        <v>8537</v>
      </c>
      <c r="B147" s="1" t="s">
        <v>12</v>
      </c>
      <c r="C147" s="1" t="s">
        <v>17</v>
      </c>
      <c r="D147" s="1" t="s">
        <v>89</v>
      </c>
      <c r="E147" s="1" t="s">
        <v>75</v>
      </c>
      <c r="F147" s="1">
        <v>363125</v>
      </c>
      <c r="G147" s="1">
        <v>119916</v>
      </c>
      <c r="H147" s="1" t="s">
        <v>69</v>
      </c>
      <c r="I147" s="1" t="s">
        <v>81</v>
      </c>
      <c r="J147" s="1" t="s">
        <v>230</v>
      </c>
      <c r="L147" s="14" t="str">
        <f t="shared" si="10"/>
        <v>premium</v>
      </c>
      <c r="M147" t="str">
        <f t="shared" si="11"/>
        <v>Salary Eligible</v>
      </c>
      <c r="N147" t="str">
        <f t="shared" si="12"/>
        <v>Auto-loan Eligible</v>
      </c>
      <c r="O147" t="str">
        <f t="shared" si="13"/>
        <v>Follow up</v>
      </c>
      <c r="P147" t="str">
        <f t="shared" si="14"/>
        <v>Loan Customer</v>
      </c>
    </row>
    <row r="148" spans="1:16" x14ac:dyDescent="0.35">
      <c r="A148" s="1">
        <v>6333</v>
      </c>
      <c r="B148" s="1" t="s">
        <v>92</v>
      </c>
      <c r="C148" s="1" t="s">
        <v>17</v>
      </c>
      <c r="D148" s="1" t="s">
        <v>89</v>
      </c>
      <c r="E148" s="1" t="s">
        <v>72</v>
      </c>
      <c r="F148" s="1">
        <v>199207</v>
      </c>
      <c r="G148" s="1">
        <v>31043</v>
      </c>
      <c r="H148" s="1" t="s">
        <v>69</v>
      </c>
      <c r="I148" s="1" t="s">
        <v>66</v>
      </c>
      <c r="J148" s="1" t="s">
        <v>231</v>
      </c>
      <c r="L148" s="14" t="str">
        <f t="shared" si="10"/>
        <v>Normal</v>
      </c>
      <c r="M148" t="str">
        <f t="shared" si="11"/>
        <v>Not Eligible</v>
      </c>
      <c r="N148" t="str">
        <f t="shared" si="12"/>
        <v>Not Eligible</v>
      </c>
      <c r="O148" t="str">
        <f t="shared" si="13"/>
        <v>Follow up</v>
      </c>
      <c r="P148" t="str">
        <f t="shared" si="14"/>
        <v>Loan Customer</v>
      </c>
    </row>
    <row r="149" spans="1:16" x14ac:dyDescent="0.35">
      <c r="A149" s="1">
        <v>2840</v>
      </c>
      <c r="B149" s="1" t="s">
        <v>71</v>
      </c>
      <c r="C149" s="1" t="s">
        <v>17</v>
      </c>
      <c r="D149" s="1" t="s">
        <v>19</v>
      </c>
      <c r="E149" s="1" t="s">
        <v>20</v>
      </c>
      <c r="F149" s="1">
        <v>439766</v>
      </c>
      <c r="G149" s="1">
        <v>185062</v>
      </c>
      <c r="H149" s="1" t="s">
        <v>65</v>
      </c>
      <c r="I149" s="1" t="s">
        <v>66</v>
      </c>
      <c r="J149" s="1" t="s">
        <v>232</v>
      </c>
      <c r="L149" s="14" t="str">
        <f t="shared" si="10"/>
        <v>premium</v>
      </c>
      <c r="M149" t="str">
        <f t="shared" si="11"/>
        <v>Salary Eligible</v>
      </c>
      <c r="N149" t="str">
        <f t="shared" si="12"/>
        <v>Auto-loan Eligible</v>
      </c>
      <c r="O149" t="str">
        <f t="shared" si="13"/>
        <v>Follow up</v>
      </c>
      <c r="P149" t="str">
        <f t="shared" si="14"/>
        <v>Non Loan Customer</v>
      </c>
    </row>
    <row r="150" spans="1:16" x14ac:dyDescent="0.35">
      <c r="A150" s="1">
        <v>8236</v>
      </c>
      <c r="B150" s="1" t="s">
        <v>177</v>
      </c>
      <c r="C150" s="1" t="s">
        <v>17</v>
      </c>
      <c r="D150" s="1" t="s">
        <v>20</v>
      </c>
      <c r="E150" s="1" t="s">
        <v>64</v>
      </c>
      <c r="F150" s="1">
        <v>885237</v>
      </c>
      <c r="G150" s="1">
        <v>44641</v>
      </c>
      <c r="H150" s="1" t="s">
        <v>65</v>
      </c>
      <c r="I150" s="1" t="s">
        <v>66</v>
      </c>
      <c r="J150" s="1" t="s">
        <v>233</v>
      </c>
      <c r="L150" s="14" t="str">
        <f t="shared" si="10"/>
        <v>premium</v>
      </c>
      <c r="M150" t="str">
        <f t="shared" si="11"/>
        <v>Not Eligible</v>
      </c>
      <c r="N150" t="str">
        <f t="shared" si="12"/>
        <v>Not Eligible</v>
      </c>
      <c r="O150" t="str">
        <f t="shared" si="13"/>
        <v>Follow up</v>
      </c>
      <c r="P150" t="str">
        <f t="shared" si="14"/>
        <v>Non Loan Customer</v>
      </c>
    </row>
    <row r="151" spans="1:16" x14ac:dyDescent="0.35">
      <c r="A151" s="1">
        <v>1516</v>
      </c>
      <c r="B151" s="1" t="s">
        <v>68</v>
      </c>
      <c r="C151" s="1" t="s">
        <v>15</v>
      </c>
      <c r="D151" s="1" t="s">
        <v>72</v>
      </c>
      <c r="E151" s="1" t="s">
        <v>64</v>
      </c>
      <c r="F151" s="1">
        <v>303975</v>
      </c>
      <c r="G151" s="1">
        <v>125515</v>
      </c>
      <c r="H151" s="1" t="s">
        <v>69</v>
      </c>
      <c r="I151" s="1" t="s">
        <v>81</v>
      </c>
      <c r="J151" s="1" t="s">
        <v>234</v>
      </c>
      <c r="L151" s="14" t="str">
        <f t="shared" si="10"/>
        <v>premium</v>
      </c>
      <c r="M151" t="str">
        <f t="shared" si="11"/>
        <v>Salary Eligible</v>
      </c>
      <c r="N151" t="str">
        <f t="shared" si="12"/>
        <v>Auto-loan Eligible</v>
      </c>
      <c r="O151" t="str">
        <f t="shared" si="13"/>
        <v>Follow up</v>
      </c>
      <c r="P151" t="str">
        <f t="shared" si="14"/>
        <v>Loan Customer</v>
      </c>
    </row>
    <row r="152" spans="1:16" x14ac:dyDescent="0.35">
      <c r="A152" s="1">
        <v>6194</v>
      </c>
      <c r="B152" s="1" t="s">
        <v>68</v>
      </c>
      <c r="C152" s="1" t="s">
        <v>16</v>
      </c>
      <c r="D152" s="1" t="s">
        <v>20</v>
      </c>
      <c r="E152" s="1" t="s">
        <v>19</v>
      </c>
      <c r="F152" s="1">
        <v>811060</v>
      </c>
      <c r="G152" s="1">
        <v>123817</v>
      </c>
      <c r="H152" s="1" t="s">
        <v>65</v>
      </c>
      <c r="I152" s="1" t="s">
        <v>81</v>
      </c>
      <c r="J152" s="1" t="s">
        <v>235</v>
      </c>
      <c r="L152" s="14" t="str">
        <f t="shared" si="10"/>
        <v>premium</v>
      </c>
      <c r="M152" t="str">
        <f t="shared" si="11"/>
        <v>Salary Eligible</v>
      </c>
      <c r="N152" t="str">
        <f t="shared" si="12"/>
        <v>Auto-loan Eligible</v>
      </c>
      <c r="O152" t="str">
        <f t="shared" si="13"/>
        <v>Follow up</v>
      </c>
      <c r="P152" t="str">
        <f t="shared" si="14"/>
        <v>Non Loan Customer</v>
      </c>
    </row>
    <row r="153" spans="1:16" x14ac:dyDescent="0.35">
      <c r="A153" s="1">
        <v>5673</v>
      </c>
      <c r="B153" s="1" t="s">
        <v>11</v>
      </c>
      <c r="C153" s="1" t="s">
        <v>17</v>
      </c>
      <c r="D153" s="1" t="s">
        <v>64</v>
      </c>
      <c r="E153" s="1" t="s">
        <v>18</v>
      </c>
      <c r="F153" s="1">
        <v>652304</v>
      </c>
      <c r="G153" s="1">
        <v>42215</v>
      </c>
      <c r="H153" s="1" t="s">
        <v>69</v>
      </c>
      <c r="I153" s="1" t="s">
        <v>66</v>
      </c>
      <c r="J153" s="1" t="s">
        <v>236</v>
      </c>
      <c r="L153" s="14" t="str">
        <f t="shared" si="10"/>
        <v>premium</v>
      </c>
      <c r="M153" t="str">
        <f t="shared" si="11"/>
        <v>Not Eligible</v>
      </c>
      <c r="N153" t="str">
        <f t="shared" si="12"/>
        <v>Not Eligible</v>
      </c>
      <c r="O153" t="str">
        <f t="shared" si="13"/>
        <v>Follow up</v>
      </c>
      <c r="P153" t="str">
        <f t="shared" si="14"/>
        <v>Loan Customer</v>
      </c>
    </row>
    <row r="154" spans="1:16" x14ac:dyDescent="0.35">
      <c r="A154" s="1">
        <v>5846</v>
      </c>
      <c r="B154" s="1" t="s">
        <v>10</v>
      </c>
      <c r="C154" s="1" t="s">
        <v>16</v>
      </c>
      <c r="D154" s="1" t="s">
        <v>75</v>
      </c>
      <c r="E154" s="1" t="s">
        <v>72</v>
      </c>
      <c r="F154" s="1">
        <v>814563</v>
      </c>
      <c r="G154" s="1">
        <v>188804</v>
      </c>
      <c r="H154" s="1" t="s">
        <v>69</v>
      </c>
      <c r="I154" s="1" t="s">
        <v>66</v>
      </c>
      <c r="J154" s="1" t="s">
        <v>237</v>
      </c>
      <c r="L154" s="14" t="str">
        <f t="shared" si="10"/>
        <v>premium</v>
      </c>
      <c r="M154" t="str">
        <f t="shared" si="11"/>
        <v>Salary Eligible</v>
      </c>
      <c r="N154" t="str">
        <f t="shared" si="12"/>
        <v>Auto-loan Eligible</v>
      </c>
      <c r="O154" t="str">
        <f t="shared" si="13"/>
        <v>Follow up</v>
      </c>
      <c r="P154" t="str">
        <f t="shared" si="14"/>
        <v>Loan Customer</v>
      </c>
    </row>
    <row r="155" spans="1:16" x14ac:dyDescent="0.35">
      <c r="A155" s="1">
        <v>3346</v>
      </c>
      <c r="B155" s="1" t="s">
        <v>63</v>
      </c>
      <c r="C155" s="1" t="s">
        <v>16</v>
      </c>
      <c r="D155" s="1" t="s">
        <v>89</v>
      </c>
      <c r="E155" s="1" t="s">
        <v>72</v>
      </c>
      <c r="F155" s="1">
        <v>182937</v>
      </c>
      <c r="G155" s="1">
        <v>23043</v>
      </c>
      <c r="H155" s="1" t="s">
        <v>65</v>
      </c>
      <c r="I155" s="1" t="s">
        <v>66</v>
      </c>
      <c r="J155" s="1" t="s">
        <v>238</v>
      </c>
      <c r="L155" s="14" t="str">
        <f t="shared" si="10"/>
        <v>Normal</v>
      </c>
      <c r="M155" t="str">
        <f t="shared" si="11"/>
        <v>Not Eligible</v>
      </c>
      <c r="N155" t="str">
        <f t="shared" si="12"/>
        <v>Not Eligible</v>
      </c>
      <c r="O155" t="str">
        <f t="shared" si="13"/>
        <v>Follow up</v>
      </c>
      <c r="P155" t="str">
        <f t="shared" si="14"/>
        <v>Non Loan Customer</v>
      </c>
    </row>
    <row r="156" spans="1:16" x14ac:dyDescent="0.35">
      <c r="A156" s="1">
        <v>4943</v>
      </c>
      <c r="B156" s="1" t="s">
        <v>151</v>
      </c>
      <c r="C156" s="1" t="s">
        <v>16</v>
      </c>
      <c r="D156" s="1" t="s">
        <v>64</v>
      </c>
      <c r="E156" s="1" t="s">
        <v>72</v>
      </c>
      <c r="F156" s="1">
        <v>587825</v>
      </c>
      <c r="G156" s="1">
        <v>106957</v>
      </c>
      <c r="H156" s="1" t="s">
        <v>65</v>
      </c>
      <c r="I156" s="1" t="s">
        <v>66</v>
      </c>
      <c r="J156" s="1" t="s">
        <v>239</v>
      </c>
      <c r="L156" s="14" t="str">
        <f t="shared" si="10"/>
        <v>premium</v>
      </c>
      <c r="M156" t="str">
        <f t="shared" si="11"/>
        <v>Salary Eligible</v>
      </c>
      <c r="N156" t="str">
        <f t="shared" si="12"/>
        <v>Auto-loan Eligible</v>
      </c>
      <c r="O156" t="str">
        <f t="shared" si="13"/>
        <v>Follow up</v>
      </c>
      <c r="P156" t="str">
        <f t="shared" si="14"/>
        <v>Non Loan Customer</v>
      </c>
    </row>
    <row r="157" spans="1:16" x14ac:dyDescent="0.35">
      <c r="A157" s="1">
        <v>1751</v>
      </c>
      <c r="B157" s="1" t="s">
        <v>4</v>
      </c>
      <c r="C157" s="1" t="s">
        <v>17</v>
      </c>
      <c r="D157" s="1" t="s">
        <v>19</v>
      </c>
      <c r="E157" s="1" t="s">
        <v>89</v>
      </c>
      <c r="F157" s="1">
        <v>538266</v>
      </c>
      <c r="G157" s="1">
        <v>190013</v>
      </c>
      <c r="H157" s="1" t="s">
        <v>65</v>
      </c>
      <c r="I157" s="1" t="s">
        <v>79</v>
      </c>
      <c r="J157" s="1" t="s">
        <v>240</v>
      </c>
      <c r="L157" s="14" t="str">
        <f t="shared" si="10"/>
        <v>premium</v>
      </c>
      <c r="M157" t="str">
        <f t="shared" si="11"/>
        <v>Salary Eligible</v>
      </c>
      <c r="N157" t="str">
        <f t="shared" si="12"/>
        <v>Auto-loan Eligible</v>
      </c>
      <c r="O157" t="str">
        <f t="shared" si="13"/>
        <v>Do Not Contact</v>
      </c>
      <c r="P157" t="str">
        <f t="shared" si="14"/>
        <v>Non Loan Customer</v>
      </c>
    </row>
    <row r="158" spans="1:16" x14ac:dyDescent="0.35">
      <c r="A158" s="1">
        <v>2965</v>
      </c>
      <c r="B158" s="1" t="s">
        <v>68</v>
      </c>
      <c r="C158" s="1" t="s">
        <v>15</v>
      </c>
      <c r="D158" s="1" t="s">
        <v>20</v>
      </c>
      <c r="E158" s="1" t="s">
        <v>89</v>
      </c>
      <c r="F158" s="1">
        <v>377644</v>
      </c>
      <c r="G158" s="1">
        <v>128945</v>
      </c>
      <c r="H158" s="1" t="s">
        <v>65</v>
      </c>
      <c r="I158" s="1" t="s">
        <v>66</v>
      </c>
      <c r="J158" s="1" t="s">
        <v>241</v>
      </c>
      <c r="L158" s="14" t="str">
        <f t="shared" si="10"/>
        <v>premium</v>
      </c>
      <c r="M158" t="str">
        <f t="shared" si="11"/>
        <v>Salary Eligible</v>
      </c>
      <c r="N158" t="str">
        <f t="shared" si="12"/>
        <v>Auto-loan Eligible</v>
      </c>
      <c r="O158" t="str">
        <f t="shared" si="13"/>
        <v>Follow up</v>
      </c>
      <c r="P158" t="str">
        <f t="shared" si="14"/>
        <v>Non Loan Customer</v>
      </c>
    </row>
    <row r="159" spans="1:16" x14ac:dyDescent="0.35">
      <c r="A159" s="1">
        <v>9990</v>
      </c>
      <c r="B159" s="1" t="s">
        <v>7</v>
      </c>
      <c r="C159" s="1" t="s">
        <v>15</v>
      </c>
      <c r="D159" s="1" t="s">
        <v>75</v>
      </c>
      <c r="E159" s="1" t="s">
        <v>20</v>
      </c>
      <c r="F159" s="1">
        <v>90760</v>
      </c>
      <c r="G159" s="1">
        <v>93376</v>
      </c>
      <c r="H159" s="1" t="s">
        <v>69</v>
      </c>
      <c r="I159" s="1" t="s">
        <v>79</v>
      </c>
      <c r="J159" s="1" t="s">
        <v>242</v>
      </c>
      <c r="L159" s="14" t="str">
        <f t="shared" si="10"/>
        <v>Normal</v>
      </c>
      <c r="M159" t="str">
        <f t="shared" si="11"/>
        <v>Salary Eligible</v>
      </c>
      <c r="N159" t="str">
        <f t="shared" si="12"/>
        <v>Not Eligible</v>
      </c>
      <c r="O159" t="str">
        <f t="shared" si="13"/>
        <v>Do Not Contact</v>
      </c>
      <c r="P159" t="str">
        <f t="shared" si="14"/>
        <v>Loan Customer</v>
      </c>
    </row>
    <row r="160" spans="1:16" x14ac:dyDescent="0.35">
      <c r="A160" s="1">
        <v>1553</v>
      </c>
      <c r="B160" s="1" t="s">
        <v>7</v>
      </c>
      <c r="C160" s="1" t="s">
        <v>16</v>
      </c>
      <c r="D160" s="1" t="s">
        <v>89</v>
      </c>
      <c r="E160" s="1" t="s">
        <v>72</v>
      </c>
      <c r="F160" s="1">
        <v>271695</v>
      </c>
      <c r="G160" s="1">
        <v>68968</v>
      </c>
      <c r="H160" s="1" t="s">
        <v>69</v>
      </c>
      <c r="I160" s="1" t="s">
        <v>66</v>
      </c>
      <c r="J160" s="1" t="s">
        <v>243</v>
      </c>
      <c r="L160" s="14" t="str">
        <f t="shared" si="10"/>
        <v>Normal</v>
      </c>
      <c r="M160" t="str">
        <f t="shared" si="11"/>
        <v>Salary Eligible</v>
      </c>
      <c r="N160" t="str">
        <f t="shared" si="12"/>
        <v>Not Eligible</v>
      </c>
      <c r="O160" t="str">
        <f t="shared" si="13"/>
        <v>Follow up</v>
      </c>
      <c r="P160" t="str">
        <f t="shared" si="14"/>
        <v>Loan Customer</v>
      </c>
    </row>
    <row r="161" spans="1:16" x14ac:dyDescent="0.35">
      <c r="A161" s="1">
        <v>2261</v>
      </c>
      <c r="B161" s="1" t="s">
        <v>2</v>
      </c>
      <c r="C161" s="1" t="s">
        <v>17</v>
      </c>
      <c r="D161" s="1" t="s">
        <v>72</v>
      </c>
      <c r="E161" s="1" t="s">
        <v>19</v>
      </c>
      <c r="F161" s="1">
        <v>724055</v>
      </c>
      <c r="G161" s="1">
        <v>131526</v>
      </c>
      <c r="H161" s="1" t="s">
        <v>69</v>
      </c>
      <c r="I161" s="1" t="s">
        <v>66</v>
      </c>
      <c r="J161" s="1" t="s">
        <v>244</v>
      </c>
      <c r="L161" s="14" t="str">
        <f t="shared" si="10"/>
        <v>premium</v>
      </c>
      <c r="M161" t="str">
        <f t="shared" si="11"/>
        <v>Salary Eligible</v>
      </c>
      <c r="N161" t="str">
        <f t="shared" si="12"/>
        <v>Auto-loan Eligible</v>
      </c>
      <c r="O161" t="str">
        <f t="shared" si="13"/>
        <v>Follow up</v>
      </c>
      <c r="P161" t="str">
        <f t="shared" si="14"/>
        <v>Loan Customer</v>
      </c>
    </row>
    <row r="162" spans="1:16" x14ac:dyDescent="0.35">
      <c r="A162" s="1">
        <v>5011</v>
      </c>
      <c r="B162" s="1" t="s">
        <v>7</v>
      </c>
      <c r="C162" s="1" t="s">
        <v>15</v>
      </c>
      <c r="D162" s="1" t="s">
        <v>18</v>
      </c>
      <c r="E162" s="1" t="s">
        <v>19</v>
      </c>
      <c r="F162" s="1">
        <v>532201</v>
      </c>
      <c r="G162" s="1">
        <v>130068</v>
      </c>
      <c r="H162" s="1" t="s">
        <v>69</v>
      </c>
      <c r="I162" s="1" t="s">
        <v>66</v>
      </c>
      <c r="J162" s="1" t="s">
        <v>176</v>
      </c>
      <c r="L162" s="14" t="str">
        <f t="shared" si="10"/>
        <v>premium</v>
      </c>
      <c r="M162" t="str">
        <f t="shared" si="11"/>
        <v>Salary Eligible</v>
      </c>
      <c r="N162" t="str">
        <f t="shared" si="12"/>
        <v>Auto-loan Eligible</v>
      </c>
      <c r="O162" t="str">
        <f t="shared" si="13"/>
        <v>Follow up</v>
      </c>
      <c r="P162" t="str">
        <f t="shared" si="14"/>
        <v>Loan Customer</v>
      </c>
    </row>
    <row r="163" spans="1:16" x14ac:dyDescent="0.35">
      <c r="A163" s="1">
        <v>5172</v>
      </c>
      <c r="B163" s="1" t="s">
        <v>14</v>
      </c>
      <c r="C163" s="1" t="s">
        <v>15</v>
      </c>
      <c r="D163" s="1" t="s">
        <v>75</v>
      </c>
      <c r="E163" s="1" t="s">
        <v>64</v>
      </c>
      <c r="F163" s="1">
        <v>391626</v>
      </c>
      <c r="G163" s="1">
        <v>120643</v>
      </c>
      <c r="H163" s="1" t="s">
        <v>69</v>
      </c>
      <c r="I163" s="1" t="s">
        <v>81</v>
      </c>
      <c r="J163" s="1" t="s">
        <v>245</v>
      </c>
      <c r="L163" s="14" t="str">
        <f t="shared" si="10"/>
        <v>premium</v>
      </c>
      <c r="M163" t="str">
        <f t="shared" si="11"/>
        <v>Salary Eligible</v>
      </c>
      <c r="N163" t="str">
        <f t="shared" si="12"/>
        <v>Auto-loan Eligible</v>
      </c>
      <c r="O163" t="str">
        <f t="shared" si="13"/>
        <v>Follow up</v>
      </c>
      <c r="P163" t="str">
        <f t="shared" si="14"/>
        <v>Loan Customer</v>
      </c>
    </row>
    <row r="164" spans="1:16" x14ac:dyDescent="0.35">
      <c r="A164" s="1">
        <v>5981</v>
      </c>
      <c r="B164" s="1" t="s">
        <v>6</v>
      </c>
      <c r="C164" s="1" t="s">
        <v>16</v>
      </c>
      <c r="D164" s="1" t="s">
        <v>18</v>
      </c>
      <c r="E164" s="1" t="s">
        <v>20</v>
      </c>
      <c r="F164" s="1">
        <v>67956</v>
      </c>
      <c r="G164" s="1">
        <v>133034</v>
      </c>
      <c r="H164" s="1" t="s">
        <v>69</v>
      </c>
      <c r="I164" s="1" t="s">
        <v>81</v>
      </c>
      <c r="J164" s="1" t="s">
        <v>246</v>
      </c>
      <c r="L164" s="14" t="str">
        <f t="shared" si="10"/>
        <v>Normal</v>
      </c>
      <c r="M164" t="str">
        <f t="shared" si="11"/>
        <v>Salary Eligible</v>
      </c>
      <c r="N164" t="str">
        <f t="shared" si="12"/>
        <v>Not Eligible</v>
      </c>
      <c r="O164" t="str">
        <f t="shared" si="13"/>
        <v>Follow up</v>
      </c>
      <c r="P164" t="str">
        <f t="shared" si="14"/>
        <v>Loan Customer</v>
      </c>
    </row>
    <row r="165" spans="1:16" x14ac:dyDescent="0.35">
      <c r="A165" s="1">
        <v>1342</v>
      </c>
      <c r="B165" s="1" t="s">
        <v>96</v>
      </c>
      <c r="C165" s="1" t="s">
        <v>17</v>
      </c>
      <c r="D165" s="1" t="s">
        <v>72</v>
      </c>
      <c r="E165" s="1" t="s">
        <v>18</v>
      </c>
      <c r="F165" s="1">
        <v>479287</v>
      </c>
      <c r="G165" s="1">
        <v>77945</v>
      </c>
      <c r="H165" s="1" t="s">
        <v>65</v>
      </c>
      <c r="I165" s="1" t="s">
        <v>81</v>
      </c>
      <c r="J165" s="1" t="s">
        <v>247</v>
      </c>
      <c r="L165" s="14" t="str">
        <f t="shared" si="10"/>
        <v>premium</v>
      </c>
      <c r="M165" t="str">
        <f t="shared" si="11"/>
        <v>Salary Eligible</v>
      </c>
      <c r="N165" t="str">
        <f t="shared" si="12"/>
        <v>Auto-loan Eligible</v>
      </c>
      <c r="O165" t="str">
        <f t="shared" si="13"/>
        <v>Follow up</v>
      </c>
      <c r="P165" t="str">
        <f t="shared" si="14"/>
        <v>Non Loan Customer</v>
      </c>
    </row>
    <row r="166" spans="1:16" x14ac:dyDescent="0.35">
      <c r="A166" s="1">
        <v>3481</v>
      </c>
      <c r="B166" s="1" t="s">
        <v>9</v>
      </c>
      <c r="C166" s="1" t="s">
        <v>15</v>
      </c>
      <c r="D166" s="1" t="s">
        <v>19</v>
      </c>
      <c r="E166" s="1" t="s">
        <v>72</v>
      </c>
      <c r="F166" s="1">
        <v>773983</v>
      </c>
      <c r="G166" s="1">
        <v>131427</v>
      </c>
      <c r="H166" s="1" t="s">
        <v>69</v>
      </c>
      <c r="I166" s="1" t="s">
        <v>81</v>
      </c>
      <c r="J166" s="1" t="s">
        <v>248</v>
      </c>
      <c r="L166" s="14" t="str">
        <f t="shared" si="10"/>
        <v>premium</v>
      </c>
      <c r="M166" t="str">
        <f t="shared" si="11"/>
        <v>Salary Eligible</v>
      </c>
      <c r="N166" t="str">
        <f t="shared" si="12"/>
        <v>Auto-loan Eligible</v>
      </c>
      <c r="O166" t="str">
        <f t="shared" si="13"/>
        <v>Follow up</v>
      </c>
      <c r="P166" t="str">
        <f t="shared" si="14"/>
        <v>Loan Customer</v>
      </c>
    </row>
    <row r="167" spans="1:16" x14ac:dyDescent="0.35">
      <c r="A167" s="1">
        <v>2213</v>
      </c>
      <c r="B167" s="1" t="s">
        <v>92</v>
      </c>
      <c r="C167" s="1" t="s">
        <v>16</v>
      </c>
      <c r="D167" s="1" t="s">
        <v>20</v>
      </c>
      <c r="E167" s="1" t="s">
        <v>72</v>
      </c>
      <c r="F167" s="1">
        <v>627270</v>
      </c>
      <c r="G167" s="1">
        <v>144769</v>
      </c>
      <c r="H167" s="1" t="s">
        <v>69</v>
      </c>
      <c r="I167" s="1" t="s">
        <v>79</v>
      </c>
      <c r="J167" s="1" t="s">
        <v>249</v>
      </c>
      <c r="L167" s="14" t="str">
        <f t="shared" si="10"/>
        <v>premium</v>
      </c>
      <c r="M167" t="str">
        <f t="shared" si="11"/>
        <v>Salary Eligible</v>
      </c>
      <c r="N167" t="str">
        <f t="shared" si="12"/>
        <v>Auto-loan Eligible</v>
      </c>
      <c r="O167" t="str">
        <f t="shared" si="13"/>
        <v>Do Not Contact</v>
      </c>
      <c r="P167" t="str">
        <f t="shared" si="14"/>
        <v>Loan Customer</v>
      </c>
    </row>
    <row r="168" spans="1:16" x14ac:dyDescent="0.35">
      <c r="A168" s="1">
        <v>6447</v>
      </c>
      <c r="B168" s="1" t="s">
        <v>9</v>
      </c>
      <c r="C168" s="1" t="s">
        <v>16</v>
      </c>
      <c r="D168" s="1" t="s">
        <v>64</v>
      </c>
      <c r="E168" s="1" t="s">
        <v>18</v>
      </c>
      <c r="F168" s="1">
        <v>319315</v>
      </c>
      <c r="G168" s="1">
        <v>193441</v>
      </c>
      <c r="H168" s="1" t="s">
        <v>69</v>
      </c>
      <c r="I168" s="1" t="s">
        <v>66</v>
      </c>
      <c r="J168" s="1" t="s">
        <v>250</v>
      </c>
      <c r="L168" s="14" t="str">
        <f t="shared" si="10"/>
        <v>premium</v>
      </c>
      <c r="M168" t="str">
        <f t="shared" si="11"/>
        <v>Salary Eligible</v>
      </c>
      <c r="N168" t="str">
        <f t="shared" si="12"/>
        <v>Auto-loan Eligible</v>
      </c>
      <c r="O168" t="str">
        <f t="shared" si="13"/>
        <v>Follow up</v>
      </c>
      <c r="P168" t="str">
        <f t="shared" si="14"/>
        <v>Loan Customer</v>
      </c>
    </row>
    <row r="169" spans="1:16" x14ac:dyDescent="0.35">
      <c r="A169" s="1">
        <v>2494</v>
      </c>
      <c r="B169" s="1" t="s">
        <v>8</v>
      </c>
      <c r="C169" s="1" t="s">
        <v>16</v>
      </c>
      <c r="D169" s="1" t="s">
        <v>89</v>
      </c>
      <c r="E169" s="1" t="s">
        <v>75</v>
      </c>
      <c r="F169" s="1">
        <v>524062</v>
      </c>
      <c r="G169" s="1">
        <v>143158</v>
      </c>
      <c r="H169" s="1" t="s">
        <v>65</v>
      </c>
      <c r="I169" s="1" t="s">
        <v>79</v>
      </c>
      <c r="J169" s="1" t="s">
        <v>251</v>
      </c>
      <c r="L169" s="14" t="str">
        <f t="shared" si="10"/>
        <v>premium</v>
      </c>
      <c r="M169" t="str">
        <f t="shared" si="11"/>
        <v>Salary Eligible</v>
      </c>
      <c r="N169" t="str">
        <f t="shared" si="12"/>
        <v>Auto-loan Eligible</v>
      </c>
      <c r="O169" t="str">
        <f t="shared" si="13"/>
        <v>Do Not Contact</v>
      </c>
      <c r="P169" t="str">
        <f t="shared" si="14"/>
        <v>Non Loan Customer</v>
      </c>
    </row>
    <row r="170" spans="1:16" x14ac:dyDescent="0.35">
      <c r="A170" s="1">
        <v>1197</v>
      </c>
      <c r="B170" s="1" t="s">
        <v>141</v>
      </c>
      <c r="C170" s="1" t="s">
        <v>16</v>
      </c>
      <c r="D170" s="1" t="s">
        <v>75</v>
      </c>
      <c r="E170" s="1" t="s">
        <v>19</v>
      </c>
      <c r="F170" s="1">
        <v>433249</v>
      </c>
      <c r="G170" s="1">
        <v>122034</v>
      </c>
      <c r="H170" s="1" t="s">
        <v>69</v>
      </c>
      <c r="I170" s="1" t="s">
        <v>81</v>
      </c>
      <c r="J170" s="1" t="s">
        <v>252</v>
      </c>
      <c r="L170" s="14" t="str">
        <f t="shared" si="10"/>
        <v>premium</v>
      </c>
      <c r="M170" t="str">
        <f t="shared" si="11"/>
        <v>Salary Eligible</v>
      </c>
      <c r="N170" t="str">
        <f t="shared" si="12"/>
        <v>Auto-loan Eligible</v>
      </c>
      <c r="O170" t="str">
        <f t="shared" si="13"/>
        <v>Follow up</v>
      </c>
      <c r="P170" t="str">
        <f t="shared" si="14"/>
        <v>Loan Customer</v>
      </c>
    </row>
    <row r="171" spans="1:16" x14ac:dyDescent="0.35">
      <c r="A171" s="1">
        <v>5760</v>
      </c>
      <c r="B171" s="1" t="s">
        <v>94</v>
      </c>
      <c r="C171" s="1" t="s">
        <v>17</v>
      </c>
      <c r="D171" s="1" t="s">
        <v>75</v>
      </c>
      <c r="E171" s="1" t="s">
        <v>19</v>
      </c>
      <c r="F171" s="1">
        <v>865487</v>
      </c>
      <c r="G171" s="1">
        <v>39707</v>
      </c>
      <c r="H171" s="1" t="s">
        <v>65</v>
      </c>
      <c r="I171" s="1" t="s">
        <v>81</v>
      </c>
      <c r="J171" s="1" t="s">
        <v>253</v>
      </c>
      <c r="L171" s="14" t="str">
        <f t="shared" si="10"/>
        <v>premium</v>
      </c>
      <c r="M171" t="str">
        <f t="shared" si="11"/>
        <v>Not Eligible</v>
      </c>
      <c r="N171" t="str">
        <f t="shared" si="12"/>
        <v>Not Eligible</v>
      </c>
      <c r="O171" t="str">
        <f t="shared" si="13"/>
        <v>Follow up</v>
      </c>
      <c r="P171" t="str">
        <f t="shared" si="14"/>
        <v>Non Loan Customer</v>
      </c>
    </row>
    <row r="172" spans="1:16" x14ac:dyDescent="0.35">
      <c r="A172" s="1">
        <v>5247</v>
      </c>
      <c r="B172" s="1" t="s">
        <v>9</v>
      </c>
      <c r="C172" s="1" t="s">
        <v>16</v>
      </c>
      <c r="D172" s="1" t="s">
        <v>64</v>
      </c>
      <c r="E172" s="1" t="s">
        <v>18</v>
      </c>
      <c r="F172" s="1">
        <v>670782</v>
      </c>
      <c r="G172" s="1">
        <v>22244</v>
      </c>
      <c r="H172" s="1" t="s">
        <v>69</v>
      </c>
      <c r="I172" s="1" t="s">
        <v>66</v>
      </c>
      <c r="J172" s="1" t="s">
        <v>254</v>
      </c>
      <c r="L172" s="14" t="str">
        <f t="shared" si="10"/>
        <v>premium</v>
      </c>
      <c r="M172" t="str">
        <f t="shared" si="11"/>
        <v>Not Eligible</v>
      </c>
      <c r="N172" t="str">
        <f t="shared" si="12"/>
        <v>Not Eligible</v>
      </c>
      <c r="O172" t="str">
        <f t="shared" si="13"/>
        <v>Follow up</v>
      </c>
      <c r="P172" t="str">
        <f t="shared" si="14"/>
        <v>Loan Customer</v>
      </c>
    </row>
    <row r="173" spans="1:16" x14ac:dyDescent="0.35">
      <c r="A173" s="1">
        <v>1749</v>
      </c>
      <c r="B173" s="1" t="s">
        <v>2</v>
      </c>
      <c r="C173" s="1" t="s">
        <v>17</v>
      </c>
      <c r="D173" s="1" t="s">
        <v>19</v>
      </c>
      <c r="E173" s="1" t="s">
        <v>75</v>
      </c>
      <c r="F173" s="1">
        <v>2877</v>
      </c>
      <c r="G173" s="1">
        <v>13379</v>
      </c>
      <c r="H173" s="1" t="s">
        <v>69</v>
      </c>
      <c r="I173" s="1" t="s">
        <v>81</v>
      </c>
      <c r="J173" s="1" t="s">
        <v>255</v>
      </c>
      <c r="L173" s="14" t="str">
        <f t="shared" si="10"/>
        <v>Normal</v>
      </c>
      <c r="M173" t="str">
        <f t="shared" si="11"/>
        <v>Not Eligible</v>
      </c>
      <c r="N173" t="str">
        <f t="shared" si="12"/>
        <v>Not Eligible</v>
      </c>
      <c r="O173" t="str">
        <f t="shared" si="13"/>
        <v>Follow up</v>
      </c>
      <c r="P173" t="str">
        <f t="shared" si="14"/>
        <v>Loan Customer</v>
      </c>
    </row>
    <row r="174" spans="1:16" x14ac:dyDescent="0.35">
      <c r="A174" s="1">
        <v>7303</v>
      </c>
      <c r="B174" s="1" t="s">
        <v>9</v>
      </c>
      <c r="C174" s="1" t="s">
        <v>16</v>
      </c>
      <c r="D174" s="1" t="s">
        <v>19</v>
      </c>
      <c r="E174" s="1" t="s">
        <v>18</v>
      </c>
      <c r="F174" s="1">
        <v>511738</v>
      </c>
      <c r="G174" s="1">
        <v>199682</v>
      </c>
      <c r="H174" s="1" t="s">
        <v>65</v>
      </c>
      <c r="I174" s="1" t="s">
        <v>79</v>
      </c>
      <c r="J174" s="1" t="s">
        <v>256</v>
      </c>
      <c r="L174" s="14" t="str">
        <f t="shared" si="10"/>
        <v>premium</v>
      </c>
      <c r="M174" t="str">
        <f t="shared" si="11"/>
        <v>Salary Eligible</v>
      </c>
      <c r="N174" t="str">
        <f t="shared" si="12"/>
        <v>Auto-loan Eligible</v>
      </c>
      <c r="O174" t="str">
        <f t="shared" si="13"/>
        <v>Do Not Contact</v>
      </c>
      <c r="P174" t="str">
        <f t="shared" si="14"/>
        <v>Non Loan Customer</v>
      </c>
    </row>
    <row r="175" spans="1:16" x14ac:dyDescent="0.35">
      <c r="A175" s="1">
        <v>6088</v>
      </c>
      <c r="B175" s="1" t="s">
        <v>105</v>
      </c>
      <c r="C175" s="1" t="s">
        <v>15</v>
      </c>
      <c r="D175" s="1" t="s">
        <v>75</v>
      </c>
      <c r="E175" s="1" t="s">
        <v>72</v>
      </c>
      <c r="F175" s="1">
        <v>420400</v>
      </c>
      <c r="G175" s="1">
        <v>127263</v>
      </c>
      <c r="H175" s="1" t="s">
        <v>65</v>
      </c>
      <c r="I175" s="1" t="s">
        <v>81</v>
      </c>
      <c r="J175" s="1" t="s">
        <v>257</v>
      </c>
      <c r="L175" s="14" t="str">
        <f t="shared" si="10"/>
        <v>premium</v>
      </c>
      <c r="M175" t="str">
        <f t="shared" si="11"/>
        <v>Salary Eligible</v>
      </c>
      <c r="N175" t="str">
        <f t="shared" si="12"/>
        <v>Auto-loan Eligible</v>
      </c>
      <c r="O175" t="str">
        <f t="shared" si="13"/>
        <v>Follow up</v>
      </c>
      <c r="P175" t="str">
        <f t="shared" si="14"/>
        <v>Non Loan Customer</v>
      </c>
    </row>
    <row r="176" spans="1:16" x14ac:dyDescent="0.35">
      <c r="A176" s="1">
        <v>6836</v>
      </c>
      <c r="B176" s="1" t="s">
        <v>68</v>
      </c>
      <c r="C176" s="1" t="s">
        <v>17</v>
      </c>
      <c r="D176" s="1" t="s">
        <v>72</v>
      </c>
      <c r="E176" s="1" t="s">
        <v>75</v>
      </c>
      <c r="F176" s="1">
        <v>33644</v>
      </c>
      <c r="G176" s="1">
        <v>95335</v>
      </c>
      <c r="H176" s="1" t="s">
        <v>65</v>
      </c>
      <c r="I176" s="1" t="s">
        <v>81</v>
      </c>
      <c r="J176" s="1" t="s">
        <v>258</v>
      </c>
      <c r="L176" s="14" t="str">
        <f t="shared" si="10"/>
        <v>Normal</v>
      </c>
      <c r="M176" t="str">
        <f t="shared" si="11"/>
        <v>Salary Eligible</v>
      </c>
      <c r="N176" t="str">
        <f t="shared" si="12"/>
        <v>Not Eligible</v>
      </c>
      <c r="O176" t="str">
        <f t="shared" si="13"/>
        <v>Follow up</v>
      </c>
      <c r="P176" t="str">
        <f t="shared" si="14"/>
        <v>Non Loan Customer</v>
      </c>
    </row>
    <row r="177" spans="1:16" x14ac:dyDescent="0.35">
      <c r="A177" s="1">
        <v>4850</v>
      </c>
      <c r="B177" s="1" t="s">
        <v>13</v>
      </c>
      <c r="C177" s="1" t="s">
        <v>15</v>
      </c>
      <c r="D177" s="1" t="s">
        <v>18</v>
      </c>
      <c r="E177" s="1" t="s">
        <v>20</v>
      </c>
      <c r="F177" s="1">
        <v>420877</v>
      </c>
      <c r="G177" s="1">
        <v>121330</v>
      </c>
      <c r="H177" s="1" t="s">
        <v>65</v>
      </c>
      <c r="I177" s="1" t="s">
        <v>66</v>
      </c>
      <c r="J177" s="1" t="s">
        <v>259</v>
      </c>
      <c r="L177" s="14" t="str">
        <f t="shared" si="10"/>
        <v>premium</v>
      </c>
      <c r="M177" t="str">
        <f t="shared" si="11"/>
        <v>Salary Eligible</v>
      </c>
      <c r="N177" t="str">
        <f t="shared" si="12"/>
        <v>Auto-loan Eligible</v>
      </c>
      <c r="O177" t="str">
        <f t="shared" si="13"/>
        <v>Follow up</v>
      </c>
      <c r="P177" t="str">
        <f t="shared" si="14"/>
        <v>Non Loan Customer</v>
      </c>
    </row>
    <row r="178" spans="1:16" x14ac:dyDescent="0.35">
      <c r="A178" s="1">
        <v>7022</v>
      </c>
      <c r="B178" s="1" t="s">
        <v>71</v>
      </c>
      <c r="C178" s="1" t="s">
        <v>15</v>
      </c>
      <c r="D178" s="1" t="s">
        <v>75</v>
      </c>
      <c r="E178" s="1" t="s">
        <v>64</v>
      </c>
      <c r="F178" s="1">
        <v>614490</v>
      </c>
      <c r="G178" s="1">
        <v>164832</v>
      </c>
      <c r="H178" s="1" t="s">
        <v>69</v>
      </c>
      <c r="I178" s="1" t="s">
        <v>79</v>
      </c>
      <c r="J178" s="1" t="s">
        <v>260</v>
      </c>
      <c r="L178" s="14" t="str">
        <f t="shared" si="10"/>
        <v>premium</v>
      </c>
      <c r="M178" t="str">
        <f t="shared" si="11"/>
        <v>Salary Eligible</v>
      </c>
      <c r="N178" t="str">
        <f t="shared" si="12"/>
        <v>Auto-loan Eligible</v>
      </c>
      <c r="O178" t="str">
        <f t="shared" si="13"/>
        <v>Do Not Contact</v>
      </c>
      <c r="P178" t="str">
        <f t="shared" si="14"/>
        <v>Loan Customer</v>
      </c>
    </row>
    <row r="179" spans="1:16" x14ac:dyDescent="0.35">
      <c r="A179" s="1">
        <v>8596</v>
      </c>
      <c r="B179" s="1" t="s">
        <v>14</v>
      </c>
      <c r="C179" s="1" t="s">
        <v>15</v>
      </c>
      <c r="D179" s="1" t="s">
        <v>72</v>
      </c>
      <c r="E179" s="1" t="s">
        <v>64</v>
      </c>
      <c r="F179" s="1">
        <v>299350</v>
      </c>
      <c r="G179" s="1">
        <v>174959</v>
      </c>
      <c r="H179" s="1" t="s">
        <v>65</v>
      </c>
      <c r="I179" s="1" t="s">
        <v>79</v>
      </c>
      <c r="J179" s="1" t="s">
        <v>261</v>
      </c>
      <c r="L179" s="14" t="str">
        <f t="shared" si="10"/>
        <v>Normal</v>
      </c>
      <c r="M179" t="str">
        <f t="shared" si="11"/>
        <v>Salary Eligible</v>
      </c>
      <c r="N179" t="str">
        <f t="shared" si="12"/>
        <v>Auto-loan Eligible</v>
      </c>
      <c r="O179" t="str">
        <f t="shared" si="13"/>
        <v>Do Not Contact</v>
      </c>
      <c r="P179" t="str">
        <f t="shared" si="14"/>
        <v>Non Loan Customer</v>
      </c>
    </row>
    <row r="180" spans="1:16" x14ac:dyDescent="0.35">
      <c r="A180" s="1">
        <v>1082</v>
      </c>
      <c r="B180" s="1" t="s">
        <v>151</v>
      </c>
      <c r="C180" s="1" t="s">
        <v>15</v>
      </c>
      <c r="D180" s="1" t="s">
        <v>19</v>
      </c>
      <c r="E180" s="1" t="s">
        <v>19</v>
      </c>
      <c r="F180" s="1">
        <v>363456</v>
      </c>
      <c r="G180" s="1">
        <v>55567</v>
      </c>
      <c r="H180" s="1" t="s">
        <v>69</v>
      </c>
      <c r="I180" s="1" t="s">
        <v>81</v>
      </c>
      <c r="J180" s="1" t="s">
        <v>262</v>
      </c>
      <c r="L180" s="14" t="str">
        <f t="shared" si="10"/>
        <v>premium</v>
      </c>
      <c r="M180" t="str">
        <f t="shared" si="11"/>
        <v>Salary Eligible</v>
      </c>
      <c r="N180" t="str">
        <f t="shared" si="12"/>
        <v>Not Eligible</v>
      </c>
      <c r="O180" t="str">
        <f t="shared" si="13"/>
        <v>Follow up</v>
      </c>
      <c r="P180" t="str">
        <f t="shared" si="14"/>
        <v>Loan Customer</v>
      </c>
    </row>
    <row r="181" spans="1:16" x14ac:dyDescent="0.35">
      <c r="A181" s="1">
        <v>9926</v>
      </c>
      <c r="B181" s="1" t="s">
        <v>4</v>
      </c>
      <c r="C181" s="1" t="s">
        <v>15</v>
      </c>
      <c r="D181" s="1" t="s">
        <v>75</v>
      </c>
      <c r="E181" s="1" t="s">
        <v>72</v>
      </c>
      <c r="F181" s="1">
        <v>381008</v>
      </c>
      <c r="G181" s="1">
        <v>89735</v>
      </c>
      <c r="H181" s="1" t="s">
        <v>65</v>
      </c>
      <c r="I181" s="1" t="s">
        <v>81</v>
      </c>
      <c r="J181" s="1" t="s">
        <v>263</v>
      </c>
      <c r="L181" s="14" t="str">
        <f t="shared" si="10"/>
        <v>premium</v>
      </c>
      <c r="M181" t="str">
        <f t="shared" si="11"/>
        <v>Salary Eligible</v>
      </c>
      <c r="N181" t="str">
        <f t="shared" si="12"/>
        <v>Auto-loan Eligible</v>
      </c>
      <c r="O181" t="str">
        <f t="shared" si="13"/>
        <v>Follow up</v>
      </c>
      <c r="P181" t="str">
        <f t="shared" si="14"/>
        <v>Non Loan Customer</v>
      </c>
    </row>
    <row r="182" spans="1:16" x14ac:dyDescent="0.35">
      <c r="A182" s="1">
        <v>3903</v>
      </c>
      <c r="B182" s="1" t="s">
        <v>71</v>
      </c>
      <c r="C182" s="1" t="s">
        <v>17</v>
      </c>
      <c r="D182" s="1" t="s">
        <v>19</v>
      </c>
      <c r="E182" s="1" t="s">
        <v>72</v>
      </c>
      <c r="F182" s="1">
        <v>494605</v>
      </c>
      <c r="G182" s="1">
        <v>103789</v>
      </c>
      <c r="H182" s="1" t="s">
        <v>65</v>
      </c>
      <c r="I182" s="1" t="s">
        <v>81</v>
      </c>
      <c r="J182" s="1" t="s">
        <v>264</v>
      </c>
      <c r="L182" s="14" t="str">
        <f t="shared" si="10"/>
        <v>premium</v>
      </c>
      <c r="M182" t="str">
        <f t="shared" si="11"/>
        <v>Salary Eligible</v>
      </c>
      <c r="N182" t="str">
        <f t="shared" si="12"/>
        <v>Auto-loan Eligible</v>
      </c>
      <c r="O182" t="str">
        <f t="shared" si="13"/>
        <v>Follow up</v>
      </c>
      <c r="P182" t="str">
        <f t="shared" si="14"/>
        <v>Non Loan Customer</v>
      </c>
    </row>
    <row r="183" spans="1:16" x14ac:dyDescent="0.35">
      <c r="A183" s="1">
        <v>8852</v>
      </c>
      <c r="B183" s="1" t="s">
        <v>71</v>
      </c>
      <c r="C183" s="1" t="s">
        <v>15</v>
      </c>
      <c r="D183" s="1" t="s">
        <v>20</v>
      </c>
      <c r="E183" s="1" t="s">
        <v>64</v>
      </c>
      <c r="F183" s="1">
        <v>317434</v>
      </c>
      <c r="G183" s="1">
        <v>142739</v>
      </c>
      <c r="H183" s="1" t="s">
        <v>65</v>
      </c>
      <c r="I183" s="1" t="s">
        <v>66</v>
      </c>
      <c r="J183" s="1" t="s">
        <v>265</v>
      </c>
      <c r="L183" s="14" t="str">
        <f t="shared" si="10"/>
        <v>premium</v>
      </c>
      <c r="M183" t="str">
        <f t="shared" si="11"/>
        <v>Salary Eligible</v>
      </c>
      <c r="N183" t="str">
        <f t="shared" si="12"/>
        <v>Auto-loan Eligible</v>
      </c>
      <c r="O183" t="str">
        <f t="shared" si="13"/>
        <v>Follow up</v>
      </c>
      <c r="P183" t="str">
        <f t="shared" si="14"/>
        <v>Non Loan Customer</v>
      </c>
    </row>
    <row r="184" spans="1:16" x14ac:dyDescent="0.35">
      <c r="A184" s="1">
        <v>4755</v>
      </c>
      <c r="B184" s="1" t="s">
        <v>177</v>
      </c>
      <c r="C184" s="1" t="s">
        <v>16</v>
      </c>
      <c r="D184" s="1" t="s">
        <v>18</v>
      </c>
      <c r="E184" s="1" t="s">
        <v>64</v>
      </c>
      <c r="F184" s="1">
        <v>450230</v>
      </c>
      <c r="G184" s="1">
        <v>188097</v>
      </c>
      <c r="H184" s="1" t="s">
        <v>65</v>
      </c>
      <c r="I184" s="1" t="s">
        <v>81</v>
      </c>
      <c r="J184" s="1" t="s">
        <v>266</v>
      </c>
      <c r="L184" s="14" t="str">
        <f t="shared" si="10"/>
        <v>premium</v>
      </c>
      <c r="M184" t="str">
        <f t="shared" si="11"/>
        <v>Salary Eligible</v>
      </c>
      <c r="N184" t="str">
        <f t="shared" si="12"/>
        <v>Auto-loan Eligible</v>
      </c>
      <c r="O184" t="str">
        <f t="shared" si="13"/>
        <v>Follow up</v>
      </c>
      <c r="P184" t="str">
        <f t="shared" si="14"/>
        <v>Non Loan Customer</v>
      </c>
    </row>
    <row r="185" spans="1:16" x14ac:dyDescent="0.35">
      <c r="A185" s="1">
        <v>4209</v>
      </c>
      <c r="B185" s="1" t="s">
        <v>99</v>
      </c>
      <c r="C185" s="1" t="s">
        <v>17</v>
      </c>
      <c r="D185" s="1" t="s">
        <v>18</v>
      </c>
      <c r="E185" s="1" t="s">
        <v>89</v>
      </c>
      <c r="F185" s="1">
        <v>711600</v>
      </c>
      <c r="G185" s="1">
        <v>19009</v>
      </c>
      <c r="H185" s="1" t="s">
        <v>65</v>
      </c>
      <c r="I185" s="1" t="s">
        <v>81</v>
      </c>
      <c r="J185" s="1" t="s">
        <v>267</v>
      </c>
      <c r="L185" s="14" t="str">
        <f t="shared" si="10"/>
        <v>premium</v>
      </c>
      <c r="M185" t="str">
        <f t="shared" si="11"/>
        <v>Not Eligible</v>
      </c>
      <c r="N185" t="str">
        <f t="shared" si="12"/>
        <v>Not Eligible</v>
      </c>
      <c r="O185" t="str">
        <f t="shared" si="13"/>
        <v>Follow up</v>
      </c>
      <c r="P185" t="str">
        <f t="shared" si="14"/>
        <v>Non Loan Customer</v>
      </c>
    </row>
    <row r="186" spans="1:16" x14ac:dyDescent="0.35">
      <c r="A186" s="1">
        <v>4112</v>
      </c>
      <c r="B186" s="1" t="s">
        <v>151</v>
      </c>
      <c r="C186" s="1" t="s">
        <v>17</v>
      </c>
      <c r="D186" s="1" t="s">
        <v>18</v>
      </c>
      <c r="E186" s="1" t="s">
        <v>72</v>
      </c>
      <c r="F186" s="1">
        <v>827588</v>
      </c>
      <c r="G186" s="1">
        <v>195376</v>
      </c>
      <c r="H186" s="1" t="s">
        <v>69</v>
      </c>
      <c r="I186" s="1" t="s">
        <v>66</v>
      </c>
      <c r="J186" s="1" t="s">
        <v>268</v>
      </c>
      <c r="L186" s="14" t="str">
        <f t="shared" si="10"/>
        <v>premium</v>
      </c>
      <c r="M186" t="str">
        <f t="shared" si="11"/>
        <v>Salary Eligible</v>
      </c>
      <c r="N186" t="str">
        <f t="shared" si="12"/>
        <v>Auto-loan Eligible</v>
      </c>
      <c r="O186" t="str">
        <f t="shared" si="13"/>
        <v>Follow up</v>
      </c>
      <c r="P186" t="str">
        <f t="shared" si="14"/>
        <v>Loan Customer</v>
      </c>
    </row>
    <row r="187" spans="1:16" x14ac:dyDescent="0.35">
      <c r="A187" s="1">
        <v>7704</v>
      </c>
      <c r="B187" s="1" t="s">
        <v>7</v>
      </c>
      <c r="C187" s="1" t="s">
        <v>16</v>
      </c>
      <c r="D187" s="1" t="s">
        <v>75</v>
      </c>
      <c r="E187" s="1" t="s">
        <v>64</v>
      </c>
      <c r="F187" s="1">
        <v>837625</v>
      </c>
      <c r="G187" s="1">
        <v>187238</v>
      </c>
      <c r="H187" s="1" t="s">
        <v>65</v>
      </c>
      <c r="I187" s="1" t="s">
        <v>66</v>
      </c>
      <c r="J187" s="1" t="s">
        <v>269</v>
      </c>
      <c r="L187" s="14" t="str">
        <f t="shared" si="10"/>
        <v>premium</v>
      </c>
      <c r="M187" t="str">
        <f t="shared" si="11"/>
        <v>Salary Eligible</v>
      </c>
      <c r="N187" t="str">
        <f t="shared" si="12"/>
        <v>Auto-loan Eligible</v>
      </c>
      <c r="O187" t="str">
        <f t="shared" si="13"/>
        <v>Follow up</v>
      </c>
      <c r="P187" t="str">
        <f t="shared" si="14"/>
        <v>Non Loan Customer</v>
      </c>
    </row>
    <row r="188" spans="1:16" x14ac:dyDescent="0.35">
      <c r="A188" s="1">
        <v>4385</v>
      </c>
      <c r="B188" s="1" t="s">
        <v>94</v>
      </c>
      <c r="C188" s="1" t="s">
        <v>17</v>
      </c>
      <c r="D188" s="1" t="s">
        <v>64</v>
      </c>
      <c r="E188" s="1" t="s">
        <v>20</v>
      </c>
      <c r="F188" s="1">
        <v>421248</v>
      </c>
      <c r="G188" s="1">
        <v>62419</v>
      </c>
      <c r="H188" s="1" t="s">
        <v>69</v>
      </c>
      <c r="I188" s="1" t="s">
        <v>66</v>
      </c>
      <c r="J188" s="1" t="s">
        <v>270</v>
      </c>
      <c r="L188" s="14" t="str">
        <f t="shared" si="10"/>
        <v>premium</v>
      </c>
      <c r="M188" t="str">
        <f t="shared" si="11"/>
        <v>Salary Eligible</v>
      </c>
      <c r="N188" t="str">
        <f t="shared" si="12"/>
        <v>Not Eligible</v>
      </c>
      <c r="O188" t="str">
        <f t="shared" si="13"/>
        <v>Follow up</v>
      </c>
      <c r="P188" t="str">
        <f t="shared" si="14"/>
        <v>Loan Customer</v>
      </c>
    </row>
    <row r="189" spans="1:16" x14ac:dyDescent="0.35">
      <c r="A189" s="1">
        <v>1971</v>
      </c>
      <c r="B189" s="1" t="s">
        <v>8</v>
      </c>
      <c r="C189" s="1" t="s">
        <v>15</v>
      </c>
      <c r="D189" s="1" t="s">
        <v>18</v>
      </c>
      <c r="E189" s="1" t="s">
        <v>89</v>
      </c>
      <c r="F189" s="1">
        <v>88593</v>
      </c>
      <c r="G189" s="1">
        <v>102652</v>
      </c>
      <c r="H189" s="1" t="s">
        <v>69</v>
      </c>
      <c r="I189" s="1" t="s">
        <v>66</v>
      </c>
      <c r="J189" s="1" t="s">
        <v>271</v>
      </c>
      <c r="L189" s="14" t="str">
        <f t="shared" si="10"/>
        <v>Normal</v>
      </c>
      <c r="M189" t="str">
        <f t="shared" si="11"/>
        <v>Salary Eligible</v>
      </c>
      <c r="N189" t="str">
        <f t="shared" si="12"/>
        <v>Not Eligible</v>
      </c>
      <c r="O189" t="str">
        <f t="shared" si="13"/>
        <v>Follow up</v>
      </c>
      <c r="P189" t="str">
        <f t="shared" si="14"/>
        <v>Loan Customer</v>
      </c>
    </row>
    <row r="190" spans="1:16" x14ac:dyDescent="0.35">
      <c r="A190" s="1">
        <v>6552</v>
      </c>
      <c r="B190" s="1" t="s">
        <v>96</v>
      </c>
      <c r="C190" s="1" t="s">
        <v>16</v>
      </c>
      <c r="D190" s="1" t="s">
        <v>72</v>
      </c>
      <c r="E190" s="1" t="s">
        <v>20</v>
      </c>
      <c r="F190" s="1">
        <v>127965</v>
      </c>
      <c r="G190" s="1">
        <v>57320</v>
      </c>
      <c r="H190" s="1" t="s">
        <v>65</v>
      </c>
      <c r="I190" s="1" t="s">
        <v>66</v>
      </c>
      <c r="J190" s="1" t="s">
        <v>272</v>
      </c>
      <c r="L190" s="14" t="str">
        <f t="shared" si="10"/>
        <v>Normal</v>
      </c>
      <c r="M190" t="str">
        <f t="shared" si="11"/>
        <v>Salary Eligible</v>
      </c>
      <c r="N190" t="str">
        <f t="shared" si="12"/>
        <v>Not Eligible</v>
      </c>
      <c r="O190" t="str">
        <f t="shared" si="13"/>
        <v>Follow up</v>
      </c>
      <c r="P190" t="str">
        <f t="shared" si="14"/>
        <v>Non Loan Customer</v>
      </c>
    </row>
    <row r="191" spans="1:16" x14ac:dyDescent="0.35">
      <c r="A191" s="1">
        <v>4200</v>
      </c>
      <c r="B191" s="1" t="s">
        <v>10</v>
      </c>
      <c r="C191" s="1" t="s">
        <v>15</v>
      </c>
      <c r="D191" s="1" t="s">
        <v>72</v>
      </c>
      <c r="E191" s="1" t="s">
        <v>20</v>
      </c>
      <c r="F191" s="1">
        <v>700102</v>
      </c>
      <c r="G191" s="1">
        <v>175534</v>
      </c>
      <c r="H191" s="1" t="s">
        <v>65</v>
      </c>
      <c r="I191" s="1" t="s">
        <v>81</v>
      </c>
      <c r="J191" s="1" t="s">
        <v>273</v>
      </c>
      <c r="L191" s="14" t="str">
        <f t="shared" si="10"/>
        <v>premium</v>
      </c>
      <c r="M191" t="str">
        <f t="shared" si="11"/>
        <v>Salary Eligible</v>
      </c>
      <c r="N191" t="str">
        <f t="shared" si="12"/>
        <v>Auto-loan Eligible</v>
      </c>
      <c r="O191" t="str">
        <f t="shared" si="13"/>
        <v>Follow up</v>
      </c>
      <c r="P191" t="str">
        <f t="shared" si="14"/>
        <v>Non Loan Customer</v>
      </c>
    </row>
    <row r="192" spans="1:16" x14ac:dyDescent="0.35">
      <c r="A192" s="1">
        <v>5695</v>
      </c>
      <c r="B192" s="1" t="s">
        <v>7</v>
      </c>
      <c r="C192" s="1" t="s">
        <v>15</v>
      </c>
      <c r="D192" s="1" t="s">
        <v>72</v>
      </c>
      <c r="E192" s="1" t="s">
        <v>18</v>
      </c>
      <c r="F192" s="1">
        <v>450079</v>
      </c>
      <c r="G192" s="1">
        <v>45885</v>
      </c>
      <c r="H192" s="1" t="s">
        <v>65</v>
      </c>
      <c r="I192" s="1" t="s">
        <v>79</v>
      </c>
      <c r="J192" s="1" t="s">
        <v>274</v>
      </c>
      <c r="L192" s="14" t="str">
        <f t="shared" si="10"/>
        <v>premium</v>
      </c>
      <c r="M192" t="str">
        <f t="shared" si="11"/>
        <v>Not Eligible</v>
      </c>
      <c r="N192" t="str">
        <f t="shared" si="12"/>
        <v>Not Eligible</v>
      </c>
      <c r="O192" t="str">
        <f t="shared" si="13"/>
        <v>Do Not Contact</v>
      </c>
      <c r="P192" t="str">
        <f t="shared" si="14"/>
        <v>Non Loan Customer</v>
      </c>
    </row>
    <row r="193" spans="1:16" x14ac:dyDescent="0.35">
      <c r="A193" s="1">
        <v>6848</v>
      </c>
      <c r="B193" s="1" t="s">
        <v>92</v>
      </c>
      <c r="C193" s="1" t="s">
        <v>16</v>
      </c>
      <c r="D193" s="1" t="s">
        <v>89</v>
      </c>
      <c r="E193" s="1" t="s">
        <v>19</v>
      </c>
      <c r="F193" s="1">
        <v>551751</v>
      </c>
      <c r="G193" s="1">
        <v>100944</v>
      </c>
      <c r="H193" s="1" t="s">
        <v>69</v>
      </c>
      <c r="I193" s="1" t="s">
        <v>81</v>
      </c>
      <c r="J193" s="1" t="s">
        <v>275</v>
      </c>
      <c r="L193" s="14" t="str">
        <f t="shared" si="10"/>
        <v>premium</v>
      </c>
      <c r="M193" t="str">
        <f t="shared" si="11"/>
        <v>Salary Eligible</v>
      </c>
      <c r="N193" t="str">
        <f t="shared" si="12"/>
        <v>Auto-loan Eligible</v>
      </c>
      <c r="O193" t="str">
        <f t="shared" si="13"/>
        <v>Follow up</v>
      </c>
      <c r="P193" t="str">
        <f t="shared" si="14"/>
        <v>Loan Customer</v>
      </c>
    </row>
    <row r="194" spans="1:16" x14ac:dyDescent="0.35">
      <c r="A194" s="1">
        <v>5295</v>
      </c>
      <c r="B194" s="1" t="s">
        <v>99</v>
      </c>
      <c r="C194" s="1" t="s">
        <v>17</v>
      </c>
      <c r="D194" s="1" t="s">
        <v>64</v>
      </c>
      <c r="E194" s="1" t="s">
        <v>72</v>
      </c>
      <c r="F194" s="1">
        <v>589007</v>
      </c>
      <c r="G194" s="1">
        <v>24922</v>
      </c>
      <c r="H194" s="1" t="s">
        <v>65</v>
      </c>
      <c r="I194" s="1" t="s">
        <v>66</v>
      </c>
      <c r="J194" s="1" t="s">
        <v>276</v>
      </c>
      <c r="L194" s="14" t="str">
        <f t="shared" si="10"/>
        <v>premium</v>
      </c>
      <c r="M194" t="str">
        <f t="shared" si="11"/>
        <v>Not Eligible</v>
      </c>
      <c r="N194" t="str">
        <f t="shared" si="12"/>
        <v>Not Eligible</v>
      </c>
      <c r="O194" t="str">
        <f t="shared" si="13"/>
        <v>Follow up</v>
      </c>
      <c r="P194" t="str">
        <f t="shared" si="14"/>
        <v>Non Loan Customer</v>
      </c>
    </row>
    <row r="195" spans="1:16" x14ac:dyDescent="0.35">
      <c r="A195" s="1">
        <v>8408</v>
      </c>
      <c r="B195" s="1" t="s">
        <v>102</v>
      </c>
      <c r="C195" s="1" t="s">
        <v>15</v>
      </c>
      <c r="D195" s="1" t="s">
        <v>19</v>
      </c>
      <c r="E195" s="1" t="s">
        <v>89</v>
      </c>
      <c r="F195" s="1">
        <v>402890</v>
      </c>
      <c r="G195" s="1">
        <v>88841</v>
      </c>
      <c r="H195" s="1" t="s">
        <v>65</v>
      </c>
      <c r="I195" s="1" t="s">
        <v>79</v>
      </c>
      <c r="J195" s="1" t="s">
        <v>277</v>
      </c>
      <c r="L195" s="14" t="str">
        <f t="shared" ref="L195:L258" si="15">IF(F195&gt;300000,"premium","Normal")</f>
        <v>premium</v>
      </c>
      <c r="M195" t="str">
        <f t="shared" ref="M195:M258" si="16">IF(G195&gt;50000,"Salary Eligible","Not Eligible")</f>
        <v>Salary Eligible</v>
      </c>
      <c r="N195" t="str">
        <f t="shared" ref="N195:N258" si="17">IF(AND(G195&gt;75000,F195&gt;100000),"Auto-loan Eligible","Not Eligible")</f>
        <v>Auto-loan Eligible</v>
      </c>
      <c r="O195" t="str">
        <f t="shared" ref="O195:O258" si="18">IF(I195="Closed","Do Not Contact","Follow up")</f>
        <v>Do Not Contact</v>
      </c>
      <c r="P195" t="str">
        <f t="shared" ref="P195:P258" si="19">IF(H195="yes","Loan Customer","Non Loan Customer")</f>
        <v>Non Loan Customer</v>
      </c>
    </row>
    <row r="196" spans="1:16" x14ac:dyDescent="0.35">
      <c r="A196" s="1">
        <v>1833</v>
      </c>
      <c r="B196" s="1" t="s">
        <v>151</v>
      </c>
      <c r="C196" s="1" t="s">
        <v>16</v>
      </c>
      <c r="D196" s="1" t="s">
        <v>75</v>
      </c>
      <c r="E196" s="1" t="s">
        <v>75</v>
      </c>
      <c r="F196" s="1">
        <v>808199</v>
      </c>
      <c r="G196" s="1">
        <v>194141</v>
      </c>
      <c r="H196" s="1" t="s">
        <v>69</v>
      </c>
      <c r="I196" s="1" t="s">
        <v>79</v>
      </c>
      <c r="J196" s="1" t="s">
        <v>278</v>
      </c>
      <c r="L196" s="14" t="str">
        <f t="shared" si="15"/>
        <v>premium</v>
      </c>
      <c r="M196" t="str">
        <f t="shared" si="16"/>
        <v>Salary Eligible</v>
      </c>
      <c r="N196" t="str">
        <f t="shared" si="17"/>
        <v>Auto-loan Eligible</v>
      </c>
      <c r="O196" t="str">
        <f t="shared" si="18"/>
        <v>Do Not Contact</v>
      </c>
      <c r="P196" t="str">
        <f t="shared" si="19"/>
        <v>Loan Customer</v>
      </c>
    </row>
    <row r="197" spans="1:16" x14ac:dyDescent="0.35">
      <c r="A197" s="1">
        <v>9432</v>
      </c>
      <c r="B197" s="1" t="s">
        <v>85</v>
      </c>
      <c r="C197" s="1" t="s">
        <v>17</v>
      </c>
      <c r="D197" s="1" t="s">
        <v>19</v>
      </c>
      <c r="E197" s="1" t="s">
        <v>20</v>
      </c>
      <c r="F197" s="1">
        <v>122277</v>
      </c>
      <c r="G197" s="1">
        <v>126209</v>
      </c>
      <c r="H197" s="1" t="s">
        <v>69</v>
      </c>
      <c r="I197" s="1" t="s">
        <v>79</v>
      </c>
      <c r="J197" s="1" t="s">
        <v>279</v>
      </c>
      <c r="L197" s="14" t="str">
        <f t="shared" si="15"/>
        <v>Normal</v>
      </c>
      <c r="M197" t="str">
        <f t="shared" si="16"/>
        <v>Salary Eligible</v>
      </c>
      <c r="N197" t="str">
        <f t="shared" si="17"/>
        <v>Auto-loan Eligible</v>
      </c>
      <c r="O197" t="str">
        <f t="shared" si="18"/>
        <v>Do Not Contact</v>
      </c>
      <c r="P197" t="str">
        <f t="shared" si="19"/>
        <v>Loan Customer</v>
      </c>
    </row>
    <row r="198" spans="1:16" x14ac:dyDescent="0.35">
      <c r="A198" s="1">
        <v>7117</v>
      </c>
      <c r="B198" s="1" t="s">
        <v>99</v>
      </c>
      <c r="C198" s="1" t="s">
        <v>17</v>
      </c>
      <c r="D198" s="1" t="s">
        <v>19</v>
      </c>
      <c r="E198" s="1" t="s">
        <v>19</v>
      </c>
      <c r="F198" s="1">
        <v>842958</v>
      </c>
      <c r="G198" s="1">
        <v>110820</v>
      </c>
      <c r="H198" s="1" t="s">
        <v>65</v>
      </c>
      <c r="I198" s="1" t="s">
        <v>66</v>
      </c>
      <c r="J198" s="1" t="s">
        <v>280</v>
      </c>
      <c r="L198" s="14" t="str">
        <f t="shared" si="15"/>
        <v>premium</v>
      </c>
      <c r="M198" t="str">
        <f t="shared" si="16"/>
        <v>Salary Eligible</v>
      </c>
      <c r="N198" t="str">
        <f t="shared" si="17"/>
        <v>Auto-loan Eligible</v>
      </c>
      <c r="O198" t="str">
        <f t="shared" si="18"/>
        <v>Follow up</v>
      </c>
      <c r="P198" t="str">
        <f t="shared" si="19"/>
        <v>Non Loan Customer</v>
      </c>
    </row>
    <row r="199" spans="1:16" x14ac:dyDescent="0.35">
      <c r="A199" s="1">
        <v>8475</v>
      </c>
      <c r="B199" s="1" t="s">
        <v>96</v>
      </c>
      <c r="C199" s="1" t="s">
        <v>15</v>
      </c>
      <c r="D199" s="1" t="s">
        <v>20</v>
      </c>
      <c r="E199" s="1" t="s">
        <v>18</v>
      </c>
      <c r="F199" s="1">
        <v>606621</v>
      </c>
      <c r="G199" s="1">
        <v>157898</v>
      </c>
      <c r="H199" s="1" t="s">
        <v>65</v>
      </c>
      <c r="I199" s="1" t="s">
        <v>79</v>
      </c>
      <c r="J199" s="1" t="s">
        <v>281</v>
      </c>
      <c r="L199" s="14" t="str">
        <f t="shared" si="15"/>
        <v>premium</v>
      </c>
      <c r="M199" t="str">
        <f t="shared" si="16"/>
        <v>Salary Eligible</v>
      </c>
      <c r="N199" t="str">
        <f t="shared" si="17"/>
        <v>Auto-loan Eligible</v>
      </c>
      <c r="O199" t="str">
        <f t="shared" si="18"/>
        <v>Do Not Contact</v>
      </c>
      <c r="P199" t="str">
        <f t="shared" si="19"/>
        <v>Non Loan Customer</v>
      </c>
    </row>
    <row r="200" spans="1:16" x14ac:dyDescent="0.35">
      <c r="A200" s="1">
        <v>2735</v>
      </c>
      <c r="B200" s="1" t="s">
        <v>99</v>
      </c>
      <c r="C200" s="1" t="s">
        <v>16</v>
      </c>
      <c r="D200" s="1" t="s">
        <v>18</v>
      </c>
      <c r="E200" s="1" t="s">
        <v>20</v>
      </c>
      <c r="F200" s="1">
        <v>497632</v>
      </c>
      <c r="G200" s="1">
        <v>79745</v>
      </c>
      <c r="H200" s="1" t="s">
        <v>69</v>
      </c>
      <c r="I200" s="1" t="s">
        <v>81</v>
      </c>
      <c r="J200" s="1" t="s">
        <v>282</v>
      </c>
      <c r="L200" s="14" t="str">
        <f t="shared" si="15"/>
        <v>premium</v>
      </c>
      <c r="M200" t="str">
        <f t="shared" si="16"/>
        <v>Salary Eligible</v>
      </c>
      <c r="N200" t="str">
        <f t="shared" si="17"/>
        <v>Auto-loan Eligible</v>
      </c>
      <c r="O200" t="str">
        <f t="shared" si="18"/>
        <v>Follow up</v>
      </c>
      <c r="P200" t="str">
        <f t="shared" si="19"/>
        <v>Loan Customer</v>
      </c>
    </row>
    <row r="201" spans="1:16" x14ac:dyDescent="0.35">
      <c r="A201" s="1">
        <v>6244</v>
      </c>
      <c r="B201" s="1" t="s">
        <v>85</v>
      </c>
      <c r="C201" s="1" t="s">
        <v>17</v>
      </c>
      <c r="D201" s="1" t="s">
        <v>19</v>
      </c>
      <c r="E201" s="1" t="s">
        <v>72</v>
      </c>
      <c r="F201" s="1">
        <v>811041</v>
      </c>
      <c r="G201" s="1">
        <v>91432</v>
      </c>
      <c r="H201" s="1" t="s">
        <v>65</v>
      </c>
      <c r="I201" s="1" t="s">
        <v>66</v>
      </c>
      <c r="J201" s="1" t="s">
        <v>283</v>
      </c>
      <c r="L201" s="14" t="str">
        <f t="shared" si="15"/>
        <v>premium</v>
      </c>
      <c r="M201" t="str">
        <f t="shared" si="16"/>
        <v>Salary Eligible</v>
      </c>
      <c r="N201" t="str">
        <f t="shared" si="17"/>
        <v>Auto-loan Eligible</v>
      </c>
      <c r="O201" t="str">
        <f t="shared" si="18"/>
        <v>Follow up</v>
      </c>
      <c r="P201" t="str">
        <f t="shared" si="19"/>
        <v>Non Loan Customer</v>
      </c>
    </row>
    <row r="202" spans="1:16" x14ac:dyDescent="0.35">
      <c r="A202" s="1">
        <v>7308</v>
      </c>
      <c r="B202" s="1" t="s">
        <v>3</v>
      </c>
      <c r="C202" s="1" t="s">
        <v>16</v>
      </c>
      <c r="D202" s="1" t="s">
        <v>72</v>
      </c>
      <c r="E202" s="1" t="s">
        <v>64</v>
      </c>
      <c r="F202" s="1">
        <v>198318</v>
      </c>
      <c r="G202" s="1">
        <v>30964</v>
      </c>
      <c r="H202" s="1" t="s">
        <v>69</v>
      </c>
      <c r="I202" s="1" t="s">
        <v>81</v>
      </c>
      <c r="J202" s="1" t="s">
        <v>284</v>
      </c>
      <c r="L202" s="14" t="str">
        <f t="shared" si="15"/>
        <v>Normal</v>
      </c>
      <c r="M202" t="str">
        <f t="shared" si="16"/>
        <v>Not Eligible</v>
      </c>
      <c r="N202" t="str">
        <f t="shared" si="17"/>
        <v>Not Eligible</v>
      </c>
      <c r="O202" t="str">
        <f t="shared" si="18"/>
        <v>Follow up</v>
      </c>
      <c r="P202" t="str">
        <f t="shared" si="19"/>
        <v>Loan Customer</v>
      </c>
    </row>
    <row r="203" spans="1:16" x14ac:dyDescent="0.35">
      <c r="A203" s="1">
        <v>2890</v>
      </c>
      <c r="B203" s="1" t="s">
        <v>7</v>
      </c>
      <c r="C203" s="1" t="s">
        <v>17</v>
      </c>
      <c r="D203" s="1" t="s">
        <v>72</v>
      </c>
      <c r="E203" s="1" t="s">
        <v>19</v>
      </c>
      <c r="F203" s="1">
        <v>28972</v>
      </c>
      <c r="G203" s="1">
        <v>108506</v>
      </c>
      <c r="H203" s="1" t="s">
        <v>65</v>
      </c>
      <c r="I203" s="1" t="s">
        <v>81</v>
      </c>
      <c r="J203" s="1" t="s">
        <v>285</v>
      </c>
      <c r="L203" s="14" t="str">
        <f t="shared" si="15"/>
        <v>Normal</v>
      </c>
      <c r="M203" t="str">
        <f t="shared" si="16"/>
        <v>Salary Eligible</v>
      </c>
      <c r="N203" t="str">
        <f t="shared" si="17"/>
        <v>Not Eligible</v>
      </c>
      <c r="O203" t="str">
        <f t="shared" si="18"/>
        <v>Follow up</v>
      </c>
      <c r="P203" t="str">
        <f t="shared" si="19"/>
        <v>Non Loan Customer</v>
      </c>
    </row>
    <row r="204" spans="1:16" x14ac:dyDescent="0.35">
      <c r="A204" s="1">
        <v>6673</v>
      </c>
      <c r="B204" s="1" t="s">
        <v>8</v>
      </c>
      <c r="C204" s="1" t="s">
        <v>15</v>
      </c>
      <c r="D204" s="1" t="s">
        <v>72</v>
      </c>
      <c r="E204" s="1" t="s">
        <v>20</v>
      </c>
      <c r="F204" s="1">
        <v>518838</v>
      </c>
      <c r="G204" s="1">
        <v>71074</v>
      </c>
      <c r="H204" s="1" t="s">
        <v>65</v>
      </c>
      <c r="I204" s="1" t="s">
        <v>66</v>
      </c>
      <c r="J204" s="1" t="s">
        <v>286</v>
      </c>
      <c r="L204" s="14" t="str">
        <f t="shared" si="15"/>
        <v>premium</v>
      </c>
      <c r="M204" t="str">
        <f t="shared" si="16"/>
        <v>Salary Eligible</v>
      </c>
      <c r="N204" t="str">
        <f t="shared" si="17"/>
        <v>Not Eligible</v>
      </c>
      <c r="O204" t="str">
        <f t="shared" si="18"/>
        <v>Follow up</v>
      </c>
      <c r="P204" t="str">
        <f t="shared" si="19"/>
        <v>Non Loan Customer</v>
      </c>
    </row>
    <row r="205" spans="1:16" x14ac:dyDescent="0.35">
      <c r="A205" s="1">
        <v>8172</v>
      </c>
      <c r="B205" s="1" t="s">
        <v>177</v>
      </c>
      <c r="C205" s="1" t="s">
        <v>16</v>
      </c>
      <c r="D205" s="1" t="s">
        <v>89</v>
      </c>
      <c r="E205" s="1" t="s">
        <v>20</v>
      </c>
      <c r="F205" s="1">
        <v>270762</v>
      </c>
      <c r="G205" s="1">
        <v>106566</v>
      </c>
      <c r="H205" s="1" t="s">
        <v>69</v>
      </c>
      <c r="I205" s="1" t="s">
        <v>66</v>
      </c>
      <c r="J205" s="1" t="s">
        <v>287</v>
      </c>
      <c r="L205" s="14" t="str">
        <f t="shared" si="15"/>
        <v>Normal</v>
      </c>
      <c r="M205" t="str">
        <f t="shared" si="16"/>
        <v>Salary Eligible</v>
      </c>
      <c r="N205" t="str">
        <f t="shared" si="17"/>
        <v>Auto-loan Eligible</v>
      </c>
      <c r="O205" t="str">
        <f t="shared" si="18"/>
        <v>Follow up</v>
      </c>
      <c r="P205" t="str">
        <f t="shared" si="19"/>
        <v>Loan Customer</v>
      </c>
    </row>
    <row r="206" spans="1:16" x14ac:dyDescent="0.35">
      <c r="A206" s="1">
        <v>5749</v>
      </c>
      <c r="B206" s="1" t="s">
        <v>128</v>
      </c>
      <c r="C206" s="1" t="s">
        <v>17</v>
      </c>
      <c r="D206" s="1" t="s">
        <v>72</v>
      </c>
      <c r="E206" s="1" t="s">
        <v>20</v>
      </c>
      <c r="F206" s="1">
        <v>507461</v>
      </c>
      <c r="G206" s="1">
        <v>133051</v>
      </c>
      <c r="H206" s="1" t="s">
        <v>69</v>
      </c>
      <c r="I206" s="1" t="s">
        <v>81</v>
      </c>
      <c r="J206" s="1" t="s">
        <v>288</v>
      </c>
      <c r="L206" s="14" t="str">
        <f t="shared" si="15"/>
        <v>premium</v>
      </c>
      <c r="M206" t="str">
        <f t="shared" si="16"/>
        <v>Salary Eligible</v>
      </c>
      <c r="N206" t="str">
        <f t="shared" si="17"/>
        <v>Auto-loan Eligible</v>
      </c>
      <c r="O206" t="str">
        <f t="shared" si="18"/>
        <v>Follow up</v>
      </c>
      <c r="P206" t="str">
        <f t="shared" si="19"/>
        <v>Loan Customer</v>
      </c>
    </row>
    <row r="207" spans="1:16" x14ac:dyDescent="0.35">
      <c r="A207" s="1">
        <v>4434</v>
      </c>
      <c r="B207" s="1" t="s">
        <v>5</v>
      </c>
      <c r="C207" s="1" t="s">
        <v>17</v>
      </c>
      <c r="D207" s="1" t="s">
        <v>89</v>
      </c>
      <c r="E207" s="1" t="s">
        <v>75</v>
      </c>
      <c r="F207" s="1">
        <v>46985</v>
      </c>
      <c r="G207" s="1">
        <v>139359</v>
      </c>
      <c r="H207" s="1" t="s">
        <v>69</v>
      </c>
      <c r="I207" s="1" t="s">
        <v>66</v>
      </c>
      <c r="J207" s="1" t="s">
        <v>289</v>
      </c>
      <c r="L207" s="14" t="str">
        <f t="shared" si="15"/>
        <v>Normal</v>
      </c>
      <c r="M207" t="str">
        <f t="shared" si="16"/>
        <v>Salary Eligible</v>
      </c>
      <c r="N207" t="str">
        <f t="shared" si="17"/>
        <v>Not Eligible</v>
      </c>
      <c r="O207" t="str">
        <f t="shared" si="18"/>
        <v>Follow up</v>
      </c>
      <c r="P207" t="str">
        <f t="shared" si="19"/>
        <v>Loan Customer</v>
      </c>
    </row>
    <row r="208" spans="1:16" x14ac:dyDescent="0.35">
      <c r="A208" s="1">
        <v>4029</v>
      </c>
      <c r="B208" s="1" t="s">
        <v>10</v>
      </c>
      <c r="C208" s="1" t="s">
        <v>15</v>
      </c>
      <c r="D208" s="1" t="s">
        <v>75</v>
      </c>
      <c r="E208" s="1" t="s">
        <v>20</v>
      </c>
      <c r="F208" s="1">
        <v>727173</v>
      </c>
      <c r="G208" s="1">
        <v>187857</v>
      </c>
      <c r="H208" s="1" t="s">
        <v>65</v>
      </c>
      <c r="I208" s="1" t="s">
        <v>81</v>
      </c>
      <c r="J208" s="1" t="s">
        <v>290</v>
      </c>
      <c r="L208" s="14" t="str">
        <f t="shared" si="15"/>
        <v>premium</v>
      </c>
      <c r="M208" t="str">
        <f t="shared" si="16"/>
        <v>Salary Eligible</v>
      </c>
      <c r="N208" t="str">
        <f t="shared" si="17"/>
        <v>Auto-loan Eligible</v>
      </c>
      <c r="O208" t="str">
        <f t="shared" si="18"/>
        <v>Follow up</v>
      </c>
      <c r="P208" t="str">
        <f t="shared" si="19"/>
        <v>Non Loan Customer</v>
      </c>
    </row>
    <row r="209" spans="1:16" x14ac:dyDescent="0.35">
      <c r="A209" s="1">
        <v>8698</v>
      </c>
      <c r="B209" s="1" t="s">
        <v>13</v>
      </c>
      <c r="C209" s="1" t="s">
        <v>17</v>
      </c>
      <c r="D209" s="1" t="s">
        <v>64</v>
      </c>
      <c r="E209" s="1" t="s">
        <v>75</v>
      </c>
      <c r="F209" s="1">
        <v>513425</v>
      </c>
      <c r="G209" s="1">
        <v>127701</v>
      </c>
      <c r="H209" s="1" t="s">
        <v>69</v>
      </c>
      <c r="I209" s="1" t="s">
        <v>66</v>
      </c>
      <c r="J209" s="1" t="s">
        <v>291</v>
      </c>
      <c r="L209" s="14" t="str">
        <f t="shared" si="15"/>
        <v>premium</v>
      </c>
      <c r="M209" t="str">
        <f t="shared" si="16"/>
        <v>Salary Eligible</v>
      </c>
      <c r="N209" t="str">
        <f t="shared" si="17"/>
        <v>Auto-loan Eligible</v>
      </c>
      <c r="O209" t="str">
        <f t="shared" si="18"/>
        <v>Follow up</v>
      </c>
      <c r="P209" t="str">
        <f t="shared" si="19"/>
        <v>Loan Customer</v>
      </c>
    </row>
    <row r="210" spans="1:16" x14ac:dyDescent="0.35">
      <c r="A210" s="1">
        <v>2742</v>
      </c>
      <c r="B210" s="1" t="s">
        <v>71</v>
      </c>
      <c r="C210" s="1" t="s">
        <v>17</v>
      </c>
      <c r="D210" s="1" t="s">
        <v>19</v>
      </c>
      <c r="E210" s="1" t="s">
        <v>72</v>
      </c>
      <c r="F210" s="1">
        <v>876563</v>
      </c>
      <c r="G210" s="1">
        <v>83224</v>
      </c>
      <c r="H210" s="1" t="s">
        <v>69</v>
      </c>
      <c r="I210" s="1" t="s">
        <v>66</v>
      </c>
      <c r="J210" s="1" t="s">
        <v>292</v>
      </c>
      <c r="L210" s="14" t="str">
        <f t="shared" si="15"/>
        <v>premium</v>
      </c>
      <c r="M210" t="str">
        <f t="shared" si="16"/>
        <v>Salary Eligible</v>
      </c>
      <c r="N210" t="str">
        <f t="shared" si="17"/>
        <v>Auto-loan Eligible</v>
      </c>
      <c r="O210" t="str">
        <f t="shared" si="18"/>
        <v>Follow up</v>
      </c>
      <c r="P210" t="str">
        <f t="shared" si="19"/>
        <v>Loan Customer</v>
      </c>
    </row>
    <row r="211" spans="1:16" x14ac:dyDescent="0.35">
      <c r="A211" s="1">
        <v>2653</v>
      </c>
      <c r="B211" s="1" t="s">
        <v>13</v>
      </c>
      <c r="C211" s="1" t="s">
        <v>17</v>
      </c>
      <c r="D211" s="1" t="s">
        <v>64</v>
      </c>
      <c r="E211" s="1" t="s">
        <v>89</v>
      </c>
      <c r="F211" s="1">
        <v>14902</v>
      </c>
      <c r="G211" s="1">
        <v>63131</v>
      </c>
      <c r="H211" s="1" t="s">
        <v>65</v>
      </c>
      <c r="I211" s="1" t="s">
        <v>81</v>
      </c>
      <c r="J211" s="1" t="s">
        <v>293</v>
      </c>
      <c r="L211" s="14" t="str">
        <f t="shared" si="15"/>
        <v>Normal</v>
      </c>
      <c r="M211" t="str">
        <f t="shared" si="16"/>
        <v>Salary Eligible</v>
      </c>
      <c r="N211" t="str">
        <f t="shared" si="17"/>
        <v>Not Eligible</v>
      </c>
      <c r="O211" t="str">
        <f t="shared" si="18"/>
        <v>Follow up</v>
      </c>
      <c r="P211" t="str">
        <f t="shared" si="19"/>
        <v>Non Loan Customer</v>
      </c>
    </row>
    <row r="212" spans="1:16" x14ac:dyDescent="0.35">
      <c r="A212" s="1">
        <v>1010</v>
      </c>
      <c r="B212" s="1" t="s">
        <v>2</v>
      </c>
      <c r="C212" s="1" t="s">
        <v>17</v>
      </c>
      <c r="D212" s="1" t="s">
        <v>75</v>
      </c>
      <c r="E212" s="1" t="s">
        <v>72</v>
      </c>
      <c r="F212" s="1">
        <v>839228</v>
      </c>
      <c r="G212" s="1">
        <v>22029</v>
      </c>
      <c r="H212" s="1" t="s">
        <v>69</v>
      </c>
      <c r="I212" s="1" t="s">
        <v>81</v>
      </c>
      <c r="J212" s="1" t="s">
        <v>294</v>
      </c>
      <c r="L212" s="14" t="str">
        <f t="shared" si="15"/>
        <v>premium</v>
      </c>
      <c r="M212" t="str">
        <f t="shared" si="16"/>
        <v>Not Eligible</v>
      </c>
      <c r="N212" t="str">
        <f t="shared" si="17"/>
        <v>Not Eligible</v>
      </c>
      <c r="O212" t="str">
        <f t="shared" si="18"/>
        <v>Follow up</v>
      </c>
      <c r="P212" t="str">
        <f t="shared" si="19"/>
        <v>Loan Customer</v>
      </c>
    </row>
    <row r="213" spans="1:16" x14ac:dyDescent="0.35">
      <c r="A213" s="1">
        <v>1011</v>
      </c>
      <c r="B213" s="1" t="s">
        <v>96</v>
      </c>
      <c r="C213" s="1" t="s">
        <v>15</v>
      </c>
      <c r="D213" s="1" t="s">
        <v>64</v>
      </c>
      <c r="E213" s="1" t="s">
        <v>18</v>
      </c>
      <c r="F213" s="1">
        <v>391540</v>
      </c>
      <c r="G213" s="1">
        <v>42493</v>
      </c>
      <c r="H213" s="1" t="s">
        <v>69</v>
      </c>
      <c r="I213" s="1" t="s">
        <v>79</v>
      </c>
      <c r="J213" s="1" t="s">
        <v>295</v>
      </c>
      <c r="L213" s="14" t="str">
        <f t="shared" si="15"/>
        <v>premium</v>
      </c>
      <c r="M213" t="str">
        <f t="shared" si="16"/>
        <v>Not Eligible</v>
      </c>
      <c r="N213" t="str">
        <f t="shared" si="17"/>
        <v>Not Eligible</v>
      </c>
      <c r="O213" t="str">
        <f t="shared" si="18"/>
        <v>Do Not Contact</v>
      </c>
      <c r="P213" t="str">
        <f t="shared" si="19"/>
        <v>Loan Customer</v>
      </c>
    </row>
    <row r="214" spans="1:16" x14ac:dyDescent="0.35">
      <c r="A214" s="1">
        <v>9217</v>
      </c>
      <c r="B214" s="1" t="s">
        <v>11</v>
      </c>
      <c r="C214" s="1" t="s">
        <v>16</v>
      </c>
      <c r="D214" s="1" t="s">
        <v>89</v>
      </c>
      <c r="E214" s="1" t="s">
        <v>64</v>
      </c>
      <c r="F214" s="1">
        <v>883832</v>
      </c>
      <c r="G214" s="1">
        <v>124701</v>
      </c>
      <c r="H214" s="1" t="s">
        <v>69</v>
      </c>
      <c r="I214" s="1" t="s">
        <v>79</v>
      </c>
      <c r="J214" s="1" t="s">
        <v>296</v>
      </c>
      <c r="L214" s="14" t="str">
        <f t="shared" si="15"/>
        <v>premium</v>
      </c>
      <c r="M214" t="str">
        <f t="shared" si="16"/>
        <v>Salary Eligible</v>
      </c>
      <c r="N214" t="str">
        <f t="shared" si="17"/>
        <v>Auto-loan Eligible</v>
      </c>
      <c r="O214" t="str">
        <f t="shared" si="18"/>
        <v>Do Not Contact</v>
      </c>
      <c r="P214" t="str">
        <f t="shared" si="19"/>
        <v>Loan Customer</v>
      </c>
    </row>
    <row r="215" spans="1:16" x14ac:dyDescent="0.35">
      <c r="A215" s="1">
        <v>8458</v>
      </c>
      <c r="B215" s="1" t="s">
        <v>10</v>
      </c>
      <c r="C215" s="1" t="s">
        <v>16</v>
      </c>
      <c r="D215" s="1" t="s">
        <v>64</v>
      </c>
      <c r="E215" s="1" t="s">
        <v>20</v>
      </c>
      <c r="F215" s="1">
        <v>853241</v>
      </c>
      <c r="G215" s="1">
        <v>131897</v>
      </c>
      <c r="H215" s="1" t="s">
        <v>65</v>
      </c>
      <c r="I215" s="1" t="s">
        <v>81</v>
      </c>
      <c r="J215" s="1" t="s">
        <v>297</v>
      </c>
      <c r="L215" s="14" t="str">
        <f t="shared" si="15"/>
        <v>premium</v>
      </c>
      <c r="M215" t="str">
        <f t="shared" si="16"/>
        <v>Salary Eligible</v>
      </c>
      <c r="N215" t="str">
        <f t="shared" si="17"/>
        <v>Auto-loan Eligible</v>
      </c>
      <c r="O215" t="str">
        <f t="shared" si="18"/>
        <v>Follow up</v>
      </c>
      <c r="P215" t="str">
        <f t="shared" si="19"/>
        <v>Non Loan Customer</v>
      </c>
    </row>
    <row r="216" spans="1:16" x14ac:dyDescent="0.35">
      <c r="A216" s="1">
        <v>4198</v>
      </c>
      <c r="B216" s="1" t="s">
        <v>141</v>
      </c>
      <c r="C216" s="1" t="s">
        <v>15</v>
      </c>
      <c r="D216" s="1" t="s">
        <v>19</v>
      </c>
      <c r="E216" s="1" t="s">
        <v>19</v>
      </c>
      <c r="F216" s="1">
        <v>120472</v>
      </c>
      <c r="G216" s="1">
        <v>19579</v>
      </c>
      <c r="H216" s="1" t="s">
        <v>69</v>
      </c>
      <c r="I216" s="1" t="s">
        <v>81</v>
      </c>
      <c r="J216" s="1" t="s">
        <v>298</v>
      </c>
      <c r="L216" s="14" t="str">
        <f t="shared" si="15"/>
        <v>Normal</v>
      </c>
      <c r="M216" t="str">
        <f t="shared" si="16"/>
        <v>Not Eligible</v>
      </c>
      <c r="N216" t="str">
        <f t="shared" si="17"/>
        <v>Not Eligible</v>
      </c>
      <c r="O216" t="str">
        <f t="shared" si="18"/>
        <v>Follow up</v>
      </c>
      <c r="P216" t="str">
        <f t="shared" si="19"/>
        <v>Loan Customer</v>
      </c>
    </row>
    <row r="217" spans="1:16" x14ac:dyDescent="0.35">
      <c r="A217" s="1">
        <v>7304</v>
      </c>
      <c r="B217" s="1" t="s">
        <v>71</v>
      </c>
      <c r="C217" s="1" t="s">
        <v>16</v>
      </c>
      <c r="D217" s="1" t="s">
        <v>20</v>
      </c>
      <c r="E217" s="1" t="s">
        <v>75</v>
      </c>
      <c r="F217" s="1">
        <v>803445</v>
      </c>
      <c r="G217" s="1">
        <v>110114</v>
      </c>
      <c r="H217" s="1" t="s">
        <v>65</v>
      </c>
      <c r="I217" s="1" t="s">
        <v>66</v>
      </c>
      <c r="J217" s="1" t="s">
        <v>299</v>
      </c>
      <c r="L217" s="14" t="str">
        <f t="shared" si="15"/>
        <v>premium</v>
      </c>
      <c r="M217" t="str">
        <f t="shared" si="16"/>
        <v>Salary Eligible</v>
      </c>
      <c r="N217" t="str">
        <f t="shared" si="17"/>
        <v>Auto-loan Eligible</v>
      </c>
      <c r="O217" t="str">
        <f t="shared" si="18"/>
        <v>Follow up</v>
      </c>
      <c r="P217" t="str">
        <f t="shared" si="19"/>
        <v>Non Loan Customer</v>
      </c>
    </row>
    <row r="218" spans="1:16" x14ac:dyDescent="0.35">
      <c r="A218" s="1">
        <v>3040</v>
      </c>
      <c r="B218" s="1" t="s">
        <v>3</v>
      </c>
      <c r="C218" s="1" t="s">
        <v>16</v>
      </c>
      <c r="D218" s="1" t="s">
        <v>64</v>
      </c>
      <c r="E218" s="1" t="s">
        <v>19</v>
      </c>
      <c r="F218" s="1">
        <v>346663</v>
      </c>
      <c r="G218" s="1">
        <v>63880</v>
      </c>
      <c r="H218" s="1" t="s">
        <v>65</v>
      </c>
      <c r="I218" s="1" t="s">
        <v>81</v>
      </c>
      <c r="J218" s="1" t="s">
        <v>300</v>
      </c>
      <c r="L218" s="14" t="str">
        <f t="shared" si="15"/>
        <v>premium</v>
      </c>
      <c r="M218" t="str">
        <f t="shared" si="16"/>
        <v>Salary Eligible</v>
      </c>
      <c r="N218" t="str">
        <f t="shared" si="17"/>
        <v>Not Eligible</v>
      </c>
      <c r="O218" t="str">
        <f t="shared" si="18"/>
        <v>Follow up</v>
      </c>
      <c r="P218" t="str">
        <f t="shared" si="19"/>
        <v>Non Loan Customer</v>
      </c>
    </row>
    <row r="219" spans="1:16" x14ac:dyDescent="0.35">
      <c r="A219" s="1">
        <v>6241</v>
      </c>
      <c r="B219" s="1" t="s">
        <v>8</v>
      </c>
      <c r="C219" s="1" t="s">
        <v>17</v>
      </c>
      <c r="D219" s="1" t="s">
        <v>64</v>
      </c>
      <c r="E219" s="1" t="s">
        <v>64</v>
      </c>
      <c r="F219" s="1">
        <v>388547</v>
      </c>
      <c r="G219" s="1">
        <v>15672</v>
      </c>
      <c r="H219" s="1" t="s">
        <v>69</v>
      </c>
      <c r="I219" s="1" t="s">
        <v>66</v>
      </c>
      <c r="J219" s="1" t="s">
        <v>301</v>
      </c>
      <c r="L219" s="14" t="str">
        <f t="shared" si="15"/>
        <v>premium</v>
      </c>
      <c r="M219" t="str">
        <f t="shared" si="16"/>
        <v>Not Eligible</v>
      </c>
      <c r="N219" t="str">
        <f t="shared" si="17"/>
        <v>Not Eligible</v>
      </c>
      <c r="O219" t="str">
        <f t="shared" si="18"/>
        <v>Follow up</v>
      </c>
      <c r="P219" t="str">
        <f t="shared" si="19"/>
        <v>Loan Customer</v>
      </c>
    </row>
    <row r="220" spans="1:16" x14ac:dyDescent="0.35">
      <c r="A220" s="1">
        <v>5998</v>
      </c>
      <c r="B220" s="1" t="s">
        <v>108</v>
      </c>
      <c r="C220" s="1" t="s">
        <v>17</v>
      </c>
      <c r="D220" s="1" t="s">
        <v>19</v>
      </c>
      <c r="E220" s="1" t="s">
        <v>64</v>
      </c>
      <c r="F220" s="1">
        <v>344501</v>
      </c>
      <c r="G220" s="1">
        <v>176969</v>
      </c>
      <c r="H220" s="1" t="s">
        <v>65</v>
      </c>
      <c r="I220" s="1" t="s">
        <v>81</v>
      </c>
      <c r="J220" s="1" t="s">
        <v>302</v>
      </c>
      <c r="L220" s="14" t="str">
        <f t="shared" si="15"/>
        <v>premium</v>
      </c>
      <c r="M220" t="str">
        <f t="shared" si="16"/>
        <v>Salary Eligible</v>
      </c>
      <c r="N220" t="str">
        <f t="shared" si="17"/>
        <v>Auto-loan Eligible</v>
      </c>
      <c r="O220" t="str">
        <f t="shared" si="18"/>
        <v>Follow up</v>
      </c>
      <c r="P220" t="str">
        <f t="shared" si="19"/>
        <v>Non Loan Customer</v>
      </c>
    </row>
    <row r="221" spans="1:16" x14ac:dyDescent="0.35">
      <c r="A221" s="1">
        <v>2738</v>
      </c>
      <c r="B221" s="1" t="s">
        <v>10</v>
      </c>
      <c r="C221" s="1" t="s">
        <v>16</v>
      </c>
      <c r="D221" s="1" t="s">
        <v>18</v>
      </c>
      <c r="E221" s="1" t="s">
        <v>19</v>
      </c>
      <c r="F221" s="1">
        <v>248122</v>
      </c>
      <c r="G221" s="1">
        <v>177895</v>
      </c>
      <c r="H221" s="1" t="s">
        <v>65</v>
      </c>
      <c r="I221" s="1" t="s">
        <v>66</v>
      </c>
      <c r="J221" s="1" t="s">
        <v>303</v>
      </c>
      <c r="L221" s="14" t="str">
        <f t="shared" si="15"/>
        <v>Normal</v>
      </c>
      <c r="M221" t="str">
        <f t="shared" si="16"/>
        <v>Salary Eligible</v>
      </c>
      <c r="N221" t="str">
        <f t="shared" si="17"/>
        <v>Auto-loan Eligible</v>
      </c>
      <c r="O221" t="str">
        <f t="shared" si="18"/>
        <v>Follow up</v>
      </c>
      <c r="P221" t="str">
        <f t="shared" si="19"/>
        <v>Non Loan Customer</v>
      </c>
    </row>
    <row r="222" spans="1:16" x14ac:dyDescent="0.35">
      <c r="A222" s="1">
        <v>5972</v>
      </c>
      <c r="B222" s="1" t="s">
        <v>9</v>
      </c>
      <c r="C222" s="1" t="s">
        <v>15</v>
      </c>
      <c r="D222" s="1" t="s">
        <v>64</v>
      </c>
      <c r="E222" s="1" t="s">
        <v>20</v>
      </c>
      <c r="F222" s="1">
        <v>641515</v>
      </c>
      <c r="G222" s="1">
        <v>122452</v>
      </c>
      <c r="H222" s="1" t="s">
        <v>65</v>
      </c>
      <c r="I222" s="1" t="s">
        <v>81</v>
      </c>
      <c r="J222" s="1" t="s">
        <v>304</v>
      </c>
      <c r="L222" s="14" t="str">
        <f t="shared" si="15"/>
        <v>premium</v>
      </c>
      <c r="M222" t="str">
        <f t="shared" si="16"/>
        <v>Salary Eligible</v>
      </c>
      <c r="N222" t="str">
        <f t="shared" si="17"/>
        <v>Auto-loan Eligible</v>
      </c>
      <c r="O222" t="str">
        <f t="shared" si="18"/>
        <v>Follow up</v>
      </c>
      <c r="P222" t="str">
        <f t="shared" si="19"/>
        <v>Non Loan Customer</v>
      </c>
    </row>
    <row r="223" spans="1:16" x14ac:dyDescent="0.35">
      <c r="A223" s="1">
        <v>7125</v>
      </c>
      <c r="B223" s="1" t="s">
        <v>13</v>
      </c>
      <c r="C223" s="1" t="s">
        <v>16</v>
      </c>
      <c r="D223" s="1" t="s">
        <v>64</v>
      </c>
      <c r="E223" s="1" t="s">
        <v>89</v>
      </c>
      <c r="F223" s="1">
        <v>31782</v>
      </c>
      <c r="G223" s="1">
        <v>54705</v>
      </c>
      <c r="H223" s="1" t="s">
        <v>69</v>
      </c>
      <c r="I223" s="1" t="s">
        <v>66</v>
      </c>
      <c r="J223" s="1" t="s">
        <v>305</v>
      </c>
      <c r="L223" s="14" t="str">
        <f t="shared" si="15"/>
        <v>Normal</v>
      </c>
      <c r="M223" t="str">
        <f t="shared" si="16"/>
        <v>Salary Eligible</v>
      </c>
      <c r="N223" t="str">
        <f t="shared" si="17"/>
        <v>Not Eligible</v>
      </c>
      <c r="O223" t="str">
        <f t="shared" si="18"/>
        <v>Follow up</v>
      </c>
      <c r="P223" t="str">
        <f t="shared" si="19"/>
        <v>Loan Customer</v>
      </c>
    </row>
    <row r="224" spans="1:16" x14ac:dyDescent="0.35">
      <c r="A224" s="1">
        <v>9608</v>
      </c>
      <c r="B224" s="1" t="s">
        <v>10</v>
      </c>
      <c r="C224" s="1" t="s">
        <v>17</v>
      </c>
      <c r="D224" s="1" t="s">
        <v>89</v>
      </c>
      <c r="E224" s="1" t="s">
        <v>72</v>
      </c>
      <c r="F224" s="1">
        <v>824735</v>
      </c>
      <c r="G224" s="1">
        <v>180076</v>
      </c>
      <c r="H224" s="1" t="s">
        <v>69</v>
      </c>
      <c r="I224" s="1" t="s">
        <v>79</v>
      </c>
      <c r="J224" s="1" t="s">
        <v>306</v>
      </c>
      <c r="L224" s="14" t="str">
        <f t="shared" si="15"/>
        <v>premium</v>
      </c>
      <c r="M224" t="str">
        <f t="shared" si="16"/>
        <v>Salary Eligible</v>
      </c>
      <c r="N224" t="str">
        <f t="shared" si="17"/>
        <v>Auto-loan Eligible</v>
      </c>
      <c r="O224" t="str">
        <f t="shared" si="18"/>
        <v>Do Not Contact</v>
      </c>
      <c r="P224" t="str">
        <f t="shared" si="19"/>
        <v>Loan Customer</v>
      </c>
    </row>
    <row r="225" spans="1:16" x14ac:dyDescent="0.35">
      <c r="A225" s="1">
        <v>2119</v>
      </c>
      <c r="B225" s="1" t="s">
        <v>96</v>
      </c>
      <c r="C225" s="1" t="s">
        <v>16</v>
      </c>
      <c r="D225" s="1" t="s">
        <v>75</v>
      </c>
      <c r="E225" s="1" t="s">
        <v>19</v>
      </c>
      <c r="F225" s="1">
        <v>485961</v>
      </c>
      <c r="G225" s="1">
        <v>157373</v>
      </c>
      <c r="H225" s="1" t="s">
        <v>65</v>
      </c>
      <c r="I225" s="1" t="s">
        <v>81</v>
      </c>
      <c r="J225" s="1" t="s">
        <v>307</v>
      </c>
      <c r="L225" s="14" t="str">
        <f t="shared" si="15"/>
        <v>premium</v>
      </c>
      <c r="M225" t="str">
        <f t="shared" si="16"/>
        <v>Salary Eligible</v>
      </c>
      <c r="N225" t="str">
        <f t="shared" si="17"/>
        <v>Auto-loan Eligible</v>
      </c>
      <c r="O225" t="str">
        <f t="shared" si="18"/>
        <v>Follow up</v>
      </c>
      <c r="P225" t="str">
        <f t="shared" si="19"/>
        <v>Non Loan Customer</v>
      </c>
    </row>
    <row r="226" spans="1:16" x14ac:dyDescent="0.35">
      <c r="A226" s="1">
        <v>8310</v>
      </c>
      <c r="B226" s="1" t="s">
        <v>68</v>
      </c>
      <c r="C226" s="1" t="s">
        <v>16</v>
      </c>
      <c r="D226" s="1" t="s">
        <v>19</v>
      </c>
      <c r="E226" s="1" t="s">
        <v>64</v>
      </c>
      <c r="F226" s="1">
        <v>387165</v>
      </c>
      <c r="G226" s="1">
        <v>188618</v>
      </c>
      <c r="H226" s="1" t="s">
        <v>69</v>
      </c>
      <c r="I226" s="1" t="s">
        <v>66</v>
      </c>
      <c r="J226" s="1" t="s">
        <v>308</v>
      </c>
      <c r="L226" s="14" t="str">
        <f t="shared" si="15"/>
        <v>premium</v>
      </c>
      <c r="M226" t="str">
        <f t="shared" si="16"/>
        <v>Salary Eligible</v>
      </c>
      <c r="N226" t="str">
        <f t="shared" si="17"/>
        <v>Auto-loan Eligible</v>
      </c>
      <c r="O226" t="str">
        <f t="shared" si="18"/>
        <v>Follow up</v>
      </c>
      <c r="P226" t="str">
        <f t="shared" si="19"/>
        <v>Loan Customer</v>
      </c>
    </row>
    <row r="227" spans="1:16" x14ac:dyDescent="0.35">
      <c r="A227" s="1">
        <v>8395</v>
      </c>
      <c r="B227" s="1" t="s">
        <v>10</v>
      </c>
      <c r="C227" s="1" t="s">
        <v>16</v>
      </c>
      <c r="D227" s="1" t="s">
        <v>18</v>
      </c>
      <c r="E227" s="1" t="s">
        <v>18</v>
      </c>
      <c r="F227" s="1">
        <v>36175</v>
      </c>
      <c r="G227" s="1">
        <v>140232</v>
      </c>
      <c r="H227" s="1" t="s">
        <v>69</v>
      </c>
      <c r="I227" s="1" t="s">
        <v>81</v>
      </c>
      <c r="J227" s="1" t="s">
        <v>309</v>
      </c>
      <c r="L227" s="14" t="str">
        <f t="shared" si="15"/>
        <v>Normal</v>
      </c>
      <c r="M227" t="str">
        <f t="shared" si="16"/>
        <v>Salary Eligible</v>
      </c>
      <c r="N227" t="str">
        <f t="shared" si="17"/>
        <v>Not Eligible</v>
      </c>
      <c r="O227" t="str">
        <f t="shared" si="18"/>
        <v>Follow up</v>
      </c>
      <c r="P227" t="str">
        <f t="shared" si="19"/>
        <v>Loan Customer</v>
      </c>
    </row>
    <row r="228" spans="1:16" x14ac:dyDescent="0.35">
      <c r="A228" s="1">
        <v>1680</v>
      </c>
      <c r="B228" s="1" t="s">
        <v>92</v>
      </c>
      <c r="C228" s="1" t="s">
        <v>17</v>
      </c>
      <c r="D228" s="1" t="s">
        <v>89</v>
      </c>
      <c r="E228" s="1" t="s">
        <v>75</v>
      </c>
      <c r="F228" s="1">
        <v>627967</v>
      </c>
      <c r="G228" s="1">
        <v>65468</v>
      </c>
      <c r="H228" s="1" t="s">
        <v>69</v>
      </c>
      <c r="I228" s="1" t="s">
        <v>66</v>
      </c>
      <c r="J228" s="1" t="s">
        <v>310</v>
      </c>
      <c r="L228" s="14" t="str">
        <f t="shared" si="15"/>
        <v>premium</v>
      </c>
      <c r="M228" t="str">
        <f t="shared" si="16"/>
        <v>Salary Eligible</v>
      </c>
      <c r="N228" t="str">
        <f t="shared" si="17"/>
        <v>Not Eligible</v>
      </c>
      <c r="O228" t="str">
        <f t="shared" si="18"/>
        <v>Follow up</v>
      </c>
      <c r="P228" t="str">
        <f t="shared" si="19"/>
        <v>Loan Customer</v>
      </c>
    </row>
    <row r="229" spans="1:16" x14ac:dyDescent="0.35">
      <c r="A229" s="1">
        <v>4493</v>
      </c>
      <c r="B229" s="1" t="s">
        <v>77</v>
      </c>
      <c r="C229" s="1" t="s">
        <v>15</v>
      </c>
      <c r="D229" s="1" t="s">
        <v>19</v>
      </c>
      <c r="E229" s="1" t="s">
        <v>89</v>
      </c>
      <c r="F229" s="1">
        <v>290086</v>
      </c>
      <c r="G229" s="1">
        <v>57990</v>
      </c>
      <c r="H229" s="1" t="s">
        <v>69</v>
      </c>
      <c r="I229" s="1" t="s">
        <v>81</v>
      </c>
      <c r="J229" s="1" t="s">
        <v>311</v>
      </c>
      <c r="L229" s="14" t="str">
        <f t="shared" si="15"/>
        <v>Normal</v>
      </c>
      <c r="M229" t="str">
        <f t="shared" si="16"/>
        <v>Salary Eligible</v>
      </c>
      <c r="N229" t="str">
        <f t="shared" si="17"/>
        <v>Not Eligible</v>
      </c>
      <c r="O229" t="str">
        <f t="shared" si="18"/>
        <v>Follow up</v>
      </c>
      <c r="P229" t="str">
        <f t="shared" si="19"/>
        <v>Loan Customer</v>
      </c>
    </row>
    <row r="230" spans="1:16" x14ac:dyDescent="0.35">
      <c r="A230" s="1">
        <v>1782</v>
      </c>
      <c r="B230" s="1" t="s">
        <v>151</v>
      </c>
      <c r="C230" s="1" t="s">
        <v>17</v>
      </c>
      <c r="D230" s="1" t="s">
        <v>64</v>
      </c>
      <c r="E230" s="1" t="s">
        <v>89</v>
      </c>
      <c r="F230" s="1">
        <v>754710</v>
      </c>
      <c r="G230" s="1">
        <v>144889</v>
      </c>
      <c r="H230" s="1" t="s">
        <v>69</v>
      </c>
      <c r="I230" s="1" t="s">
        <v>81</v>
      </c>
      <c r="J230" s="1" t="s">
        <v>312</v>
      </c>
      <c r="L230" s="14" t="str">
        <f t="shared" si="15"/>
        <v>premium</v>
      </c>
      <c r="M230" t="str">
        <f t="shared" si="16"/>
        <v>Salary Eligible</v>
      </c>
      <c r="N230" t="str">
        <f t="shared" si="17"/>
        <v>Auto-loan Eligible</v>
      </c>
      <c r="O230" t="str">
        <f t="shared" si="18"/>
        <v>Follow up</v>
      </c>
      <c r="P230" t="str">
        <f t="shared" si="19"/>
        <v>Loan Customer</v>
      </c>
    </row>
    <row r="231" spans="1:16" x14ac:dyDescent="0.35">
      <c r="A231" s="1">
        <v>5129</v>
      </c>
      <c r="B231" s="1" t="s">
        <v>8</v>
      </c>
      <c r="C231" s="1" t="s">
        <v>15</v>
      </c>
      <c r="D231" s="1" t="s">
        <v>72</v>
      </c>
      <c r="E231" s="1" t="s">
        <v>72</v>
      </c>
      <c r="F231" s="1">
        <v>890875</v>
      </c>
      <c r="G231" s="1">
        <v>74050</v>
      </c>
      <c r="H231" s="1" t="s">
        <v>65</v>
      </c>
      <c r="I231" s="1" t="s">
        <v>66</v>
      </c>
      <c r="J231" s="1" t="s">
        <v>313</v>
      </c>
      <c r="L231" s="14" t="str">
        <f t="shared" si="15"/>
        <v>premium</v>
      </c>
      <c r="M231" t="str">
        <f t="shared" si="16"/>
        <v>Salary Eligible</v>
      </c>
      <c r="N231" t="str">
        <f t="shared" si="17"/>
        <v>Not Eligible</v>
      </c>
      <c r="O231" t="str">
        <f t="shared" si="18"/>
        <v>Follow up</v>
      </c>
      <c r="P231" t="str">
        <f t="shared" si="19"/>
        <v>Non Loan Customer</v>
      </c>
    </row>
    <row r="232" spans="1:16" x14ac:dyDescent="0.35">
      <c r="A232" s="1">
        <v>4711</v>
      </c>
      <c r="B232" s="1" t="s">
        <v>9</v>
      </c>
      <c r="C232" s="1" t="s">
        <v>15</v>
      </c>
      <c r="D232" s="1" t="s">
        <v>72</v>
      </c>
      <c r="E232" s="1" t="s">
        <v>18</v>
      </c>
      <c r="F232" s="1">
        <v>389642</v>
      </c>
      <c r="G232" s="1">
        <v>125033</v>
      </c>
      <c r="H232" s="1" t="s">
        <v>69</v>
      </c>
      <c r="I232" s="1" t="s">
        <v>81</v>
      </c>
      <c r="J232" s="1" t="s">
        <v>314</v>
      </c>
      <c r="L232" s="14" t="str">
        <f t="shared" si="15"/>
        <v>premium</v>
      </c>
      <c r="M232" t="str">
        <f t="shared" si="16"/>
        <v>Salary Eligible</v>
      </c>
      <c r="N232" t="str">
        <f t="shared" si="17"/>
        <v>Auto-loan Eligible</v>
      </c>
      <c r="O232" t="str">
        <f t="shared" si="18"/>
        <v>Follow up</v>
      </c>
      <c r="P232" t="str">
        <f t="shared" si="19"/>
        <v>Loan Customer</v>
      </c>
    </row>
    <row r="233" spans="1:16" x14ac:dyDescent="0.35">
      <c r="A233" s="1">
        <v>3941</v>
      </c>
      <c r="B233" s="1" t="s">
        <v>94</v>
      </c>
      <c r="C233" s="1" t="s">
        <v>16</v>
      </c>
      <c r="D233" s="1" t="s">
        <v>19</v>
      </c>
      <c r="E233" s="1" t="s">
        <v>64</v>
      </c>
      <c r="F233" s="1">
        <v>499083</v>
      </c>
      <c r="G233" s="1">
        <v>57703</v>
      </c>
      <c r="H233" s="1" t="s">
        <v>69</v>
      </c>
      <c r="I233" s="1" t="s">
        <v>79</v>
      </c>
      <c r="J233" s="1" t="s">
        <v>315</v>
      </c>
      <c r="L233" s="14" t="str">
        <f t="shared" si="15"/>
        <v>premium</v>
      </c>
      <c r="M233" t="str">
        <f t="shared" si="16"/>
        <v>Salary Eligible</v>
      </c>
      <c r="N233" t="str">
        <f t="shared" si="17"/>
        <v>Not Eligible</v>
      </c>
      <c r="O233" t="str">
        <f t="shared" si="18"/>
        <v>Do Not Contact</v>
      </c>
      <c r="P233" t="str">
        <f t="shared" si="19"/>
        <v>Loan Customer</v>
      </c>
    </row>
    <row r="234" spans="1:16" x14ac:dyDescent="0.35">
      <c r="A234" s="1">
        <v>8749</v>
      </c>
      <c r="B234" s="1" t="s">
        <v>105</v>
      </c>
      <c r="C234" s="1" t="s">
        <v>16</v>
      </c>
      <c r="D234" s="1" t="s">
        <v>20</v>
      </c>
      <c r="E234" s="1" t="s">
        <v>20</v>
      </c>
      <c r="F234" s="1">
        <v>576203</v>
      </c>
      <c r="G234" s="1">
        <v>15700</v>
      </c>
      <c r="H234" s="1" t="s">
        <v>65</v>
      </c>
      <c r="I234" s="1" t="s">
        <v>81</v>
      </c>
      <c r="J234" s="1" t="s">
        <v>316</v>
      </c>
      <c r="L234" s="14" t="str">
        <f t="shared" si="15"/>
        <v>premium</v>
      </c>
      <c r="M234" t="str">
        <f t="shared" si="16"/>
        <v>Not Eligible</v>
      </c>
      <c r="N234" t="str">
        <f t="shared" si="17"/>
        <v>Not Eligible</v>
      </c>
      <c r="O234" t="str">
        <f t="shared" si="18"/>
        <v>Follow up</v>
      </c>
      <c r="P234" t="str">
        <f t="shared" si="19"/>
        <v>Non Loan Customer</v>
      </c>
    </row>
    <row r="235" spans="1:16" x14ac:dyDescent="0.35">
      <c r="A235" s="1">
        <v>4689</v>
      </c>
      <c r="B235" s="1" t="s">
        <v>14</v>
      </c>
      <c r="C235" s="1" t="s">
        <v>15</v>
      </c>
      <c r="D235" s="1" t="s">
        <v>20</v>
      </c>
      <c r="E235" s="1" t="s">
        <v>89</v>
      </c>
      <c r="F235" s="1">
        <v>260503</v>
      </c>
      <c r="G235" s="1">
        <v>120310</v>
      </c>
      <c r="H235" s="1" t="s">
        <v>69</v>
      </c>
      <c r="I235" s="1" t="s">
        <v>81</v>
      </c>
      <c r="J235" s="1" t="s">
        <v>317</v>
      </c>
      <c r="L235" s="14" t="str">
        <f t="shared" si="15"/>
        <v>Normal</v>
      </c>
      <c r="M235" t="str">
        <f t="shared" si="16"/>
        <v>Salary Eligible</v>
      </c>
      <c r="N235" t="str">
        <f t="shared" si="17"/>
        <v>Auto-loan Eligible</v>
      </c>
      <c r="O235" t="str">
        <f t="shared" si="18"/>
        <v>Follow up</v>
      </c>
      <c r="P235" t="str">
        <f t="shared" si="19"/>
        <v>Loan Customer</v>
      </c>
    </row>
    <row r="236" spans="1:16" x14ac:dyDescent="0.35">
      <c r="A236" s="1">
        <v>5152</v>
      </c>
      <c r="B236" s="1" t="s">
        <v>2</v>
      </c>
      <c r="C236" s="1" t="s">
        <v>15</v>
      </c>
      <c r="D236" s="1" t="s">
        <v>75</v>
      </c>
      <c r="E236" s="1" t="s">
        <v>89</v>
      </c>
      <c r="F236" s="1">
        <v>569217</v>
      </c>
      <c r="G236" s="1">
        <v>99118</v>
      </c>
      <c r="H236" s="1" t="s">
        <v>65</v>
      </c>
      <c r="I236" s="1" t="s">
        <v>81</v>
      </c>
      <c r="J236" s="1" t="s">
        <v>318</v>
      </c>
      <c r="L236" s="14" t="str">
        <f t="shared" si="15"/>
        <v>premium</v>
      </c>
      <c r="M236" t="str">
        <f t="shared" si="16"/>
        <v>Salary Eligible</v>
      </c>
      <c r="N236" t="str">
        <f t="shared" si="17"/>
        <v>Auto-loan Eligible</v>
      </c>
      <c r="O236" t="str">
        <f t="shared" si="18"/>
        <v>Follow up</v>
      </c>
      <c r="P236" t="str">
        <f t="shared" si="19"/>
        <v>Non Loan Customer</v>
      </c>
    </row>
    <row r="237" spans="1:16" x14ac:dyDescent="0.35">
      <c r="A237" s="1">
        <v>2388</v>
      </c>
      <c r="B237" s="1" t="s">
        <v>128</v>
      </c>
      <c r="C237" s="1" t="s">
        <v>15</v>
      </c>
      <c r="D237" s="1" t="s">
        <v>75</v>
      </c>
      <c r="E237" s="1" t="s">
        <v>89</v>
      </c>
      <c r="F237" s="1">
        <v>692046</v>
      </c>
      <c r="G237" s="1">
        <v>125459</v>
      </c>
      <c r="H237" s="1" t="s">
        <v>65</v>
      </c>
      <c r="I237" s="1" t="s">
        <v>79</v>
      </c>
      <c r="J237" s="1" t="s">
        <v>319</v>
      </c>
      <c r="L237" s="14" t="str">
        <f t="shared" si="15"/>
        <v>premium</v>
      </c>
      <c r="M237" t="str">
        <f t="shared" si="16"/>
        <v>Salary Eligible</v>
      </c>
      <c r="N237" t="str">
        <f t="shared" si="17"/>
        <v>Auto-loan Eligible</v>
      </c>
      <c r="O237" t="str">
        <f t="shared" si="18"/>
        <v>Do Not Contact</v>
      </c>
      <c r="P237" t="str">
        <f t="shared" si="19"/>
        <v>Non Loan Customer</v>
      </c>
    </row>
    <row r="238" spans="1:16" x14ac:dyDescent="0.35">
      <c r="A238" s="1">
        <v>2072</v>
      </c>
      <c r="B238" s="1" t="s">
        <v>177</v>
      </c>
      <c r="C238" s="1" t="s">
        <v>17</v>
      </c>
      <c r="D238" s="1" t="s">
        <v>72</v>
      </c>
      <c r="E238" s="1" t="s">
        <v>72</v>
      </c>
      <c r="F238" s="1">
        <v>36440</v>
      </c>
      <c r="G238" s="1">
        <v>173084</v>
      </c>
      <c r="H238" s="1" t="s">
        <v>65</v>
      </c>
      <c r="I238" s="1" t="s">
        <v>81</v>
      </c>
      <c r="J238" s="1" t="s">
        <v>320</v>
      </c>
      <c r="L238" s="14" t="str">
        <f t="shared" si="15"/>
        <v>Normal</v>
      </c>
      <c r="M238" t="str">
        <f t="shared" si="16"/>
        <v>Salary Eligible</v>
      </c>
      <c r="N238" t="str">
        <f t="shared" si="17"/>
        <v>Not Eligible</v>
      </c>
      <c r="O238" t="str">
        <f t="shared" si="18"/>
        <v>Follow up</v>
      </c>
      <c r="P238" t="str">
        <f t="shared" si="19"/>
        <v>Non Loan Customer</v>
      </c>
    </row>
    <row r="239" spans="1:16" x14ac:dyDescent="0.35">
      <c r="A239" s="1">
        <v>6769</v>
      </c>
      <c r="B239" s="1" t="s">
        <v>2</v>
      </c>
      <c r="C239" s="1" t="s">
        <v>17</v>
      </c>
      <c r="D239" s="1" t="s">
        <v>20</v>
      </c>
      <c r="E239" s="1" t="s">
        <v>18</v>
      </c>
      <c r="F239" s="1">
        <v>81913</v>
      </c>
      <c r="G239" s="1">
        <v>42140</v>
      </c>
      <c r="H239" s="1" t="s">
        <v>65</v>
      </c>
      <c r="I239" s="1" t="s">
        <v>79</v>
      </c>
      <c r="J239" s="1" t="s">
        <v>321</v>
      </c>
      <c r="L239" s="14" t="str">
        <f t="shared" si="15"/>
        <v>Normal</v>
      </c>
      <c r="M239" t="str">
        <f t="shared" si="16"/>
        <v>Not Eligible</v>
      </c>
      <c r="N239" t="str">
        <f t="shared" si="17"/>
        <v>Not Eligible</v>
      </c>
      <c r="O239" t="str">
        <f t="shared" si="18"/>
        <v>Do Not Contact</v>
      </c>
      <c r="P239" t="str">
        <f t="shared" si="19"/>
        <v>Non Loan Customer</v>
      </c>
    </row>
    <row r="240" spans="1:16" x14ac:dyDescent="0.35">
      <c r="A240" s="1">
        <v>5675</v>
      </c>
      <c r="B240" s="1" t="s">
        <v>10</v>
      </c>
      <c r="C240" s="1" t="s">
        <v>15</v>
      </c>
      <c r="D240" s="1" t="s">
        <v>18</v>
      </c>
      <c r="E240" s="1" t="s">
        <v>64</v>
      </c>
      <c r="F240" s="1">
        <v>856801</v>
      </c>
      <c r="G240" s="1">
        <v>74658</v>
      </c>
      <c r="H240" s="1" t="s">
        <v>69</v>
      </c>
      <c r="I240" s="1" t="s">
        <v>66</v>
      </c>
      <c r="J240" s="1" t="s">
        <v>322</v>
      </c>
      <c r="L240" s="14" t="str">
        <f t="shared" si="15"/>
        <v>premium</v>
      </c>
      <c r="M240" t="str">
        <f t="shared" si="16"/>
        <v>Salary Eligible</v>
      </c>
      <c r="N240" t="str">
        <f t="shared" si="17"/>
        <v>Not Eligible</v>
      </c>
      <c r="O240" t="str">
        <f t="shared" si="18"/>
        <v>Follow up</v>
      </c>
      <c r="P240" t="str">
        <f t="shared" si="19"/>
        <v>Loan Customer</v>
      </c>
    </row>
    <row r="241" spans="1:16" x14ac:dyDescent="0.35">
      <c r="A241" s="1">
        <v>1869</v>
      </c>
      <c r="B241" s="1" t="s">
        <v>94</v>
      </c>
      <c r="C241" s="1" t="s">
        <v>17</v>
      </c>
      <c r="D241" s="1" t="s">
        <v>20</v>
      </c>
      <c r="E241" s="1" t="s">
        <v>75</v>
      </c>
      <c r="F241" s="1">
        <v>847627</v>
      </c>
      <c r="G241" s="1">
        <v>85982</v>
      </c>
      <c r="H241" s="1" t="s">
        <v>65</v>
      </c>
      <c r="I241" s="1" t="s">
        <v>81</v>
      </c>
      <c r="J241" s="1" t="s">
        <v>323</v>
      </c>
      <c r="L241" s="14" t="str">
        <f t="shared" si="15"/>
        <v>premium</v>
      </c>
      <c r="M241" t="str">
        <f t="shared" si="16"/>
        <v>Salary Eligible</v>
      </c>
      <c r="N241" t="str">
        <f t="shared" si="17"/>
        <v>Auto-loan Eligible</v>
      </c>
      <c r="O241" t="str">
        <f t="shared" si="18"/>
        <v>Follow up</v>
      </c>
      <c r="P241" t="str">
        <f t="shared" si="19"/>
        <v>Non Loan Customer</v>
      </c>
    </row>
    <row r="242" spans="1:16" x14ac:dyDescent="0.35">
      <c r="A242" s="1">
        <v>7940</v>
      </c>
      <c r="B242" s="1" t="s">
        <v>7</v>
      </c>
      <c r="C242" s="1" t="s">
        <v>17</v>
      </c>
      <c r="D242" s="1" t="s">
        <v>89</v>
      </c>
      <c r="E242" s="1" t="s">
        <v>89</v>
      </c>
      <c r="F242" s="1">
        <v>662015</v>
      </c>
      <c r="G242" s="1">
        <v>114505</v>
      </c>
      <c r="H242" s="1" t="s">
        <v>65</v>
      </c>
      <c r="I242" s="1" t="s">
        <v>81</v>
      </c>
      <c r="J242" s="1" t="s">
        <v>324</v>
      </c>
      <c r="L242" s="14" t="str">
        <f t="shared" si="15"/>
        <v>premium</v>
      </c>
      <c r="M242" t="str">
        <f t="shared" si="16"/>
        <v>Salary Eligible</v>
      </c>
      <c r="N242" t="str">
        <f t="shared" si="17"/>
        <v>Auto-loan Eligible</v>
      </c>
      <c r="O242" t="str">
        <f t="shared" si="18"/>
        <v>Follow up</v>
      </c>
      <c r="P242" t="str">
        <f t="shared" si="19"/>
        <v>Non Loan Customer</v>
      </c>
    </row>
    <row r="243" spans="1:16" x14ac:dyDescent="0.35">
      <c r="A243" s="1">
        <v>9944</v>
      </c>
      <c r="B243" s="1" t="s">
        <v>102</v>
      </c>
      <c r="C243" s="1" t="s">
        <v>17</v>
      </c>
      <c r="D243" s="1" t="s">
        <v>19</v>
      </c>
      <c r="E243" s="1" t="s">
        <v>19</v>
      </c>
      <c r="F243" s="1">
        <v>383663</v>
      </c>
      <c r="G243" s="1">
        <v>170847</v>
      </c>
      <c r="H243" s="1" t="s">
        <v>69</v>
      </c>
      <c r="I243" s="1" t="s">
        <v>66</v>
      </c>
      <c r="J243" s="1" t="s">
        <v>325</v>
      </c>
      <c r="L243" s="14" t="str">
        <f t="shared" si="15"/>
        <v>premium</v>
      </c>
      <c r="M243" t="str">
        <f t="shared" si="16"/>
        <v>Salary Eligible</v>
      </c>
      <c r="N243" t="str">
        <f t="shared" si="17"/>
        <v>Auto-loan Eligible</v>
      </c>
      <c r="O243" t="str">
        <f t="shared" si="18"/>
        <v>Follow up</v>
      </c>
      <c r="P243" t="str">
        <f t="shared" si="19"/>
        <v>Loan Customer</v>
      </c>
    </row>
    <row r="244" spans="1:16" x14ac:dyDescent="0.35">
      <c r="A244" s="1">
        <v>5427</v>
      </c>
      <c r="B244" s="1" t="s">
        <v>6</v>
      </c>
      <c r="C244" s="1" t="s">
        <v>15</v>
      </c>
      <c r="D244" s="1" t="s">
        <v>19</v>
      </c>
      <c r="E244" s="1" t="s">
        <v>89</v>
      </c>
      <c r="F244" s="1">
        <v>13750</v>
      </c>
      <c r="G244" s="1">
        <v>53350</v>
      </c>
      <c r="H244" s="1" t="s">
        <v>69</v>
      </c>
      <c r="I244" s="1" t="s">
        <v>81</v>
      </c>
      <c r="J244" s="1" t="s">
        <v>326</v>
      </c>
      <c r="L244" s="14" t="str">
        <f t="shared" si="15"/>
        <v>Normal</v>
      </c>
      <c r="M244" t="str">
        <f t="shared" si="16"/>
        <v>Salary Eligible</v>
      </c>
      <c r="N244" t="str">
        <f t="shared" si="17"/>
        <v>Not Eligible</v>
      </c>
      <c r="O244" t="str">
        <f t="shared" si="18"/>
        <v>Follow up</v>
      </c>
      <c r="P244" t="str">
        <f t="shared" si="19"/>
        <v>Loan Customer</v>
      </c>
    </row>
    <row r="245" spans="1:16" x14ac:dyDescent="0.35">
      <c r="A245" s="1">
        <v>7489</v>
      </c>
      <c r="B245" s="1" t="s">
        <v>128</v>
      </c>
      <c r="C245" s="1" t="s">
        <v>17</v>
      </c>
      <c r="D245" s="1" t="s">
        <v>20</v>
      </c>
      <c r="E245" s="1" t="s">
        <v>18</v>
      </c>
      <c r="F245" s="1">
        <v>511573</v>
      </c>
      <c r="G245" s="1">
        <v>187131</v>
      </c>
      <c r="H245" s="1" t="s">
        <v>69</v>
      </c>
      <c r="I245" s="1" t="s">
        <v>81</v>
      </c>
      <c r="J245" s="1" t="s">
        <v>327</v>
      </c>
      <c r="L245" s="14" t="str">
        <f t="shared" si="15"/>
        <v>premium</v>
      </c>
      <c r="M245" t="str">
        <f t="shared" si="16"/>
        <v>Salary Eligible</v>
      </c>
      <c r="N245" t="str">
        <f t="shared" si="17"/>
        <v>Auto-loan Eligible</v>
      </c>
      <c r="O245" t="str">
        <f t="shared" si="18"/>
        <v>Follow up</v>
      </c>
      <c r="P245" t="str">
        <f t="shared" si="19"/>
        <v>Loan Customer</v>
      </c>
    </row>
    <row r="246" spans="1:16" x14ac:dyDescent="0.35">
      <c r="A246" s="1">
        <v>8293</v>
      </c>
      <c r="B246" s="1" t="s">
        <v>99</v>
      </c>
      <c r="C246" s="1" t="s">
        <v>15</v>
      </c>
      <c r="D246" s="1" t="s">
        <v>19</v>
      </c>
      <c r="E246" s="1" t="s">
        <v>64</v>
      </c>
      <c r="F246" s="1">
        <v>784106</v>
      </c>
      <c r="G246" s="1">
        <v>17317</v>
      </c>
      <c r="H246" s="1" t="s">
        <v>65</v>
      </c>
      <c r="I246" s="1" t="s">
        <v>81</v>
      </c>
      <c r="J246" s="1" t="s">
        <v>328</v>
      </c>
      <c r="L246" s="14" t="str">
        <f t="shared" si="15"/>
        <v>premium</v>
      </c>
      <c r="M246" t="str">
        <f t="shared" si="16"/>
        <v>Not Eligible</v>
      </c>
      <c r="N246" t="str">
        <f t="shared" si="17"/>
        <v>Not Eligible</v>
      </c>
      <c r="O246" t="str">
        <f t="shared" si="18"/>
        <v>Follow up</v>
      </c>
      <c r="P246" t="str">
        <f t="shared" si="19"/>
        <v>Non Loan Customer</v>
      </c>
    </row>
    <row r="247" spans="1:16" x14ac:dyDescent="0.35">
      <c r="A247" s="1">
        <v>7685</v>
      </c>
      <c r="B247" s="1" t="s">
        <v>94</v>
      </c>
      <c r="C247" s="1" t="s">
        <v>16</v>
      </c>
      <c r="D247" s="1" t="s">
        <v>64</v>
      </c>
      <c r="E247" s="1" t="s">
        <v>89</v>
      </c>
      <c r="F247" s="1">
        <v>867519</v>
      </c>
      <c r="G247" s="1">
        <v>23238</v>
      </c>
      <c r="H247" s="1" t="s">
        <v>69</v>
      </c>
      <c r="I247" s="1" t="s">
        <v>81</v>
      </c>
      <c r="J247" s="1" t="s">
        <v>329</v>
      </c>
      <c r="L247" s="14" t="str">
        <f t="shared" si="15"/>
        <v>premium</v>
      </c>
      <c r="M247" t="str">
        <f t="shared" si="16"/>
        <v>Not Eligible</v>
      </c>
      <c r="N247" t="str">
        <f t="shared" si="17"/>
        <v>Not Eligible</v>
      </c>
      <c r="O247" t="str">
        <f t="shared" si="18"/>
        <v>Follow up</v>
      </c>
      <c r="P247" t="str">
        <f t="shared" si="19"/>
        <v>Loan Customer</v>
      </c>
    </row>
    <row r="248" spans="1:16" x14ac:dyDescent="0.35">
      <c r="A248" s="1">
        <v>7104</v>
      </c>
      <c r="B248" s="1" t="s">
        <v>114</v>
      </c>
      <c r="C248" s="1" t="s">
        <v>15</v>
      </c>
      <c r="D248" s="1" t="s">
        <v>75</v>
      </c>
      <c r="E248" s="1" t="s">
        <v>89</v>
      </c>
      <c r="F248" s="1">
        <v>838202</v>
      </c>
      <c r="G248" s="1">
        <v>197213</v>
      </c>
      <c r="H248" s="1" t="s">
        <v>65</v>
      </c>
      <c r="I248" s="1" t="s">
        <v>81</v>
      </c>
      <c r="J248" s="1" t="s">
        <v>330</v>
      </c>
      <c r="L248" s="14" t="str">
        <f t="shared" si="15"/>
        <v>premium</v>
      </c>
      <c r="M248" t="str">
        <f t="shared" si="16"/>
        <v>Salary Eligible</v>
      </c>
      <c r="N248" t="str">
        <f t="shared" si="17"/>
        <v>Auto-loan Eligible</v>
      </c>
      <c r="O248" t="str">
        <f t="shared" si="18"/>
        <v>Follow up</v>
      </c>
      <c r="P248" t="str">
        <f t="shared" si="19"/>
        <v>Non Loan Customer</v>
      </c>
    </row>
    <row r="249" spans="1:16" x14ac:dyDescent="0.35">
      <c r="A249" s="1">
        <v>7268</v>
      </c>
      <c r="B249" s="1" t="s">
        <v>85</v>
      </c>
      <c r="C249" s="1" t="s">
        <v>16</v>
      </c>
      <c r="D249" s="1" t="s">
        <v>64</v>
      </c>
      <c r="E249" s="1" t="s">
        <v>89</v>
      </c>
      <c r="F249" s="1">
        <v>475770</v>
      </c>
      <c r="G249" s="1">
        <v>116938</v>
      </c>
      <c r="H249" s="1" t="s">
        <v>69</v>
      </c>
      <c r="I249" s="1" t="s">
        <v>66</v>
      </c>
      <c r="J249" s="1" t="s">
        <v>331</v>
      </c>
      <c r="L249" s="14" t="str">
        <f t="shared" si="15"/>
        <v>premium</v>
      </c>
      <c r="M249" t="str">
        <f t="shared" si="16"/>
        <v>Salary Eligible</v>
      </c>
      <c r="N249" t="str">
        <f t="shared" si="17"/>
        <v>Auto-loan Eligible</v>
      </c>
      <c r="O249" t="str">
        <f t="shared" si="18"/>
        <v>Follow up</v>
      </c>
      <c r="P249" t="str">
        <f t="shared" si="19"/>
        <v>Loan Customer</v>
      </c>
    </row>
    <row r="250" spans="1:16" x14ac:dyDescent="0.35">
      <c r="A250" s="1">
        <v>1947</v>
      </c>
      <c r="B250" s="1" t="s">
        <v>105</v>
      </c>
      <c r="C250" s="1" t="s">
        <v>15</v>
      </c>
      <c r="D250" s="1" t="s">
        <v>20</v>
      </c>
      <c r="E250" s="1" t="s">
        <v>75</v>
      </c>
      <c r="F250" s="1">
        <v>404476</v>
      </c>
      <c r="G250" s="1">
        <v>108433</v>
      </c>
      <c r="H250" s="1" t="s">
        <v>69</v>
      </c>
      <c r="I250" s="1" t="s">
        <v>66</v>
      </c>
      <c r="J250" s="1" t="s">
        <v>332</v>
      </c>
      <c r="L250" s="14" t="str">
        <f t="shared" si="15"/>
        <v>premium</v>
      </c>
      <c r="M250" t="str">
        <f t="shared" si="16"/>
        <v>Salary Eligible</v>
      </c>
      <c r="N250" t="str">
        <f t="shared" si="17"/>
        <v>Auto-loan Eligible</v>
      </c>
      <c r="O250" t="str">
        <f t="shared" si="18"/>
        <v>Follow up</v>
      </c>
      <c r="P250" t="str">
        <f t="shared" si="19"/>
        <v>Loan Customer</v>
      </c>
    </row>
    <row r="251" spans="1:16" x14ac:dyDescent="0.35">
      <c r="A251" s="1">
        <v>4458</v>
      </c>
      <c r="B251" s="1" t="s">
        <v>13</v>
      </c>
      <c r="C251" s="1" t="s">
        <v>15</v>
      </c>
      <c r="D251" s="1" t="s">
        <v>18</v>
      </c>
      <c r="E251" s="1" t="s">
        <v>72</v>
      </c>
      <c r="F251" s="1">
        <v>564074</v>
      </c>
      <c r="G251" s="1">
        <v>132531</v>
      </c>
      <c r="H251" s="1" t="s">
        <v>69</v>
      </c>
      <c r="I251" s="1" t="s">
        <v>79</v>
      </c>
      <c r="J251" s="1" t="s">
        <v>333</v>
      </c>
      <c r="L251" s="14" t="str">
        <f t="shared" si="15"/>
        <v>premium</v>
      </c>
      <c r="M251" t="str">
        <f t="shared" si="16"/>
        <v>Salary Eligible</v>
      </c>
      <c r="N251" t="str">
        <f t="shared" si="17"/>
        <v>Auto-loan Eligible</v>
      </c>
      <c r="O251" t="str">
        <f t="shared" si="18"/>
        <v>Do Not Contact</v>
      </c>
      <c r="P251" t="str">
        <f t="shared" si="19"/>
        <v>Loan Customer</v>
      </c>
    </row>
    <row r="252" spans="1:16" x14ac:dyDescent="0.35">
      <c r="A252" s="1">
        <v>4853</v>
      </c>
      <c r="B252" s="1" t="s">
        <v>3</v>
      </c>
      <c r="C252" s="1" t="s">
        <v>16</v>
      </c>
      <c r="D252" s="1" t="s">
        <v>19</v>
      </c>
      <c r="E252" s="1" t="s">
        <v>64</v>
      </c>
      <c r="F252" s="1">
        <v>883338</v>
      </c>
      <c r="G252" s="1">
        <v>61302</v>
      </c>
      <c r="H252" s="1" t="s">
        <v>69</v>
      </c>
      <c r="I252" s="1" t="s">
        <v>79</v>
      </c>
      <c r="J252" s="1" t="s">
        <v>334</v>
      </c>
      <c r="L252" s="14" t="str">
        <f t="shared" si="15"/>
        <v>premium</v>
      </c>
      <c r="M252" t="str">
        <f t="shared" si="16"/>
        <v>Salary Eligible</v>
      </c>
      <c r="N252" t="str">
        <f t="shared" si="17"/>
        <v>Not Eligible</v>
      </c>
      <c r="O252" t="str">
        <f t="shared" si="18"/>
        <v>Do Not Contact</v>
      </c>
      <c r="P252" t="str">
        <f t="shared" si="19"/>
        <v>Loan Customer</v>
      </c>
    </row>
    <row r="253" spans="1:16" x14ac:dyDescent="0.35">
      <c r="A253" s="1">
        <v>4762</v>
      </c>
      <c r="B253" s="1" t="s">
        <v>3</v>
      </c>
      <c r="C253" s="1" t="s">
        <v>16</v>
      </c>
      <c r="D253" s="1" t="s">
        <v>19</v>
      </c>
      <c r="E253" s="1" t="s">
        <v>89</v>
      </c>
      <c r="F253" s="1">
        <v>546266</v>
      </c>
      <c r="G253" s="1">
        <v>79161</v>
      </c>
      <c r="H253" s="1" t="s">
        <v>69</v>
      </c>
      <c r="I253" s="1" t="s">
        <v>79</v>
      </c>
      <c r="J253" s="1" t="s">
        <v>335</v>
      </c>
      <c r="L253" s="14" t="str">
        <f t="shared" si="15"/>
        <v>premium</v>
      </c>
      <c r="M253" t="str">
        <f t="shared" si="16"/>
        <v>Salary Eligible</v>
      </c>
      <c r="N253" t="str">
        <f t="shared" si="17"/>
        <v>Auto-loan Eligible</v>
      </c>
      <c r="O253" t="str">
        <f t="shared" si="18"/>
        <v>Do Not Contact</v>
      </c>
      <c r="P253" t="str">
        <f t="shared" si="19"/>
        <v>Loan Customer</v>
      </c>
    </row>
    <row r="254" spans="1:16" x14ac:dyDescent="0.35">
      <c r="A254" s="1">
        <v>6238</v>
      </c>
      <c r="B254" s="1" t="s">
        <v>99</v>
      </c>
      <c r="C254" s="1" t="s">
        <v>16</v>
      </c>
      <c r="D254" s="1" t="s">
        <v>19</v>
      </c>
      <c r="E254" s="1" t="s">
        <v>75</v>
      </c>
      <c r="F254" s="1">
        <v>598674</v>
      </c>
      <c r="G254" s="1">
        <v>78124</v>
      </c>
      <c r="H254" s="1" t="s">
        <v>69</v>
      </c>
      <c r="I254" s="1" t="s">
        <v>81</v>
      </c>
      <c r="J254" s="1" t="s">
        <v>336</v>
      </c>
      <c r="L254" s="14" t="str">
        <f t="shared" si="15"/>
        <v>premium</v>
      </c>
      <c r="M254" t="str">
        <f t="shared" si="16"/>
        <v>Salary Eligible</v>
      </c>
      <c r="N254" t="str">
        <f t="shared" si="17"/>
        <v>Auto-loan Eligible</v>
      </c>
      <c r="O254" t="str">
        <f t="shared" si="18"/>
        <v>Follow up</v>
      </c>
      <c r="P254" t="str">
        <f t="shared" si="19"/>
        <v>Loan Customer</v>
      </c>
    </row>
    <row r="255" spans="1:16" x14ac:dyDescent="0.35">
      <c r="A255" s="1">
        <v>8018</v>
      </c>
      <c r="B255" s="1" t="s">
        <v>68</v>
      </c>
      <c r="C255" s="1" t="s">
        <v>17</v>
      </c>
      <c r="D255" s="1" t="s">
        <v>19</v>
      </c>
      <c r="E255" s="1" t="s">
        <v>18</v>
      </c>
      <c r="F255" s="1">
        <v>430397</v>
      </c>
      <c r="G255" s="1">
        <v>75333</v>
      </c>
      <c r="H255" s="1" t="s">
        <v>65</v>
      </c>
      <c r="I255" s="1" t="s">
        <v>79</v>
      </c>
      <c r="J255" s="1" t="s">
        <v>337</v>
      </c>
      <c r="L255" s="14" t="str">
        <f t="shared" si="15"/>
        <v>premium</v>
      </c>
      <c r="M255" t="str">
        <f t="shared" si="16"/>
        <v>Salary Eligible</v>
      </c>
      <c r="N255" t="str">
        <f t="shared" si="17"/>
        <v>Auto-loan Eligible</v>
      </c>
      <c r="O255" t="str">
        <f t="shared" si="18"/>
        <v>Do Not Contact</v>
      </c>
      <c r="P255" t="str">
        <f t="shared" si="19"/>
        <v>Non Loan Customer</v>
      </c>
    </row>
    <row r="256" spans="1:16" x14ac:dyDescent="0.35">
      <c r="A256" s="1">
        <v>8736</v>
      </c>
      <c r="B256" s="1" t="s">
        <v>10</v>
      </c>
      <c r="C256" s="1" t="s">
        <v>17</v>
      </c>
      <c r="D256" s="1" t="s">
        <v>20</v>
      </c>
      <c r="E256" s="1" t="s">
        <v>89</v>
      </c>
      <c r="F256" s="1">
        <v>739252</v>
      </c>
      <c r="G256" s="1">
        <v>177539</v>
      </c>
      <c r="H256" s="1" t="s">
        <v>65</v>
      </c>
      <c r="I256" s="1" t="s">
        <v>81</v>
      </c>
      <c r="J256" s="1" t="s">
        <v>191</v>
      </c>
      <c r="L256" s="14" t="str">
        <f t="shared" si="15"/>
        <v>premium</v>
      </c>
      <c r="M256" t="str">
        <f t="shared" si="16"/>
        <v>Salary Eligible</v>
      </c>
      <c r="N256" t="str">
        <f t="shared" si="17"/>
        <v>Auto-loan Eligible</v>
      </c>
      <c r="O256" t="str">
        <f t="shared" si="18"/>
        <v>Follow up</v>
      </c>
      <c r="P256" t="str">
        <f t="shared" si="19"/>
        <v>Non Loan Customer</v>
      </c>
    </row>
    <row r="257" spans="1:16" x14ac:dyDescent="0.35">
      <c r="A257" s="1">
        <v>2228</v>
      </c>
      <c r="B257" s="1" t="s">
        <v>3</v>
      </c>
      <c r="C257" s="1" t="s">
        <v>17</v>
      </c>
      <c r="D257" s="1" t="s">
        <v>20</v>
      </c>
      <c r="E257" s="1" t="s">
        <v>20</v>
      </c>
      <c r="F257" s="1">
        <v>273745</v>
      </c>
      <c r="G257" s="1">
        <v>196686</v>
      </c>
      <c r="H257" s="1" t="s">
        <v>69</v>
      </c>
      <c r="I257" s="1" t="s">
        <v>81</v>
      </c>
      <c r="J257" s="1" t="s">
        <v>338</v>
      </c>
      <c r="L257" s="14" t="str">
        <f t="shared" si="15"/>
        <v>Normal</v>
      </c>
      <c r="M257" t="str">
        <f t="shared" si="16"/>
        <v>Salary Eligible</v>
      </c>
      <c r="N257" t="str">
        <f t="shared" si="17"/>
        <v>Auto-loan Eligible</v>
      </c>
      <c r="O257" t="str">
        <f t="shared" si="18"/>
        <v>Follow up</v>
      </c>
      <c r="P257" t="str">
        <f t="shared" si="19"/>
        <v>Loan Customer</v>
      </c>
    </row>
    <row r="258" spans="1:16" x14ac:dyDescent="0.35">
      <c r="A258" s="1">
        <v>5937</v>
      </c>
      <c r="B258" s="1" t="s">
        <v>13</v>
      </c>
      <c r="C258" s="1" t="s">
        <v>16</v>
      </c>
      <c r="D258" s="1" t="s">
        <v>19</v>
      </c>
      <c r="E258" s="1" t="s">
        <v>89</v>
      </c>
      <c r="F258" s="1">
        <v>196154</v>
      </c>
      <c r="G258" s="1">
        <v>195670</v>
      </c>
      <c r="H258" s="1" t="s">
        <v>69</v>
      </c>
      <c r="I258" s="1" t="s">
        <v>79</v>
      </c>
      <c r="J258" s="1" t="s">
        <v>339</v>
      </c>
      <c r="L258" s="14" t="str">
        <f t="shared" si="15"/>
        <v>Normal</v>
      </c>
      <c r="M258" t="str">
        <f t="shared" si="16"/>
        <v>Salary Eligible</v>
      </c>
      <c r="N258" t="str">
        <f t="shared" si="17"/>
        <v>Auto-loan Eligible</v>
      </c>
      <c r="O258" t="str">
        <f t="shared" si="18"/>
        <v>Do Not Contact</v>
      </c>
      <c r="P258" t="str">
        <f t="shared" si="19"/>
        <v>Loan Customer</v>
      </c>
    </row>
    <row r="259" spans="1:16" x14ac:dyDescent="0.35">
      <c r="A259" s="1">
        <v>5264</v>
      </c>
      <c r="B259" s="1" t="s">
        <v>141</v>
      </c>
      <c r="C259" s="1" t="s">
        <v>17</v>
      </c>
      <c r="D259" s="1" t="s">
        <v>19</v>
      </c>
      <c r="E259" s="1" t="s">
        <v>75</v>
      </c>
      <c r="F259" s="1">
        <v>12856</v>
      </c>
      <c r="G259" s="1">
        <v>120968</v>
      </c>
      <c r="H259" s="1" t="s">
        <v>65</v>
      </c>
      <c r="I259" s="1" t="s">
        <v>81</v>
      </c>
      <c r="J259" s="1" t="s">
        <v>340</v>
      </c>
      <c r="L259" s="14" t="str">
        <f t="shared" ref="L259:L301" si="20">IF(F259&gt;300000,"premium","Normal")</f>
        <v>Normal</v>
      </c>
      <c r="M259" t="str">
        <f t="shared" ref="M259:M301" si="21">IF(G259&gt;50000,"Salary Eligible","Not Eligible")</f>
        <v>Salary Eligible</v>
      </c>
      <c r="N259" t="str">
        <f t="shared" ref="N259:N301" si="22">IF(AND(G259&gt;75000,F259&gt;100000),"Auto-loan Eligible","Not Eligible")</f>
        <v>Not Eligible</v>
      </c>
      <c r="O259" t="str">
        <f t="shared" ref="O259:O301" si="23">IF(I259="Closed","Do Not Contact","Follow up")</f>
        <v>Follow up</v>
      </c>
      <c r="P259" t="str">
        <f t="shared" ref="P259:P301" si="24">IF(H259="yes","Loan Customer","Non Loan Customer")</f>
        <v>Non Loan Customer</v>
      </c>
    </row>
    <row r="260" spans="1:16" x14ac:dyDescent="0.35">
      <c r="A260" s="1">
        <v>6928</v>
      </c>
      <c r="B260" s="1" t="s">
        <v>3</v>
      </c>
      <c r="C260" s="1" t="s">
        <v>15</v>
      </c>
      <c r="D260" s="1" t="s">
        <v>19</v>
      </c>
      <c r="E260" s="1" t="s">
        <v>72</v>
      </c>
      <c r="F260" s="1">
        <v>804171</v>
      </c>
      <c r="G260" s="1">
        <v>130689</v>
      </c>
      <c r="H260" s="1" t="s">
        <v>69</v>
      </c>
      <c r="I260" s="1" t="s">
        <v>81</v>
      </c>
      <c r="J260" s="1" t="s">
        <v>341</v>
      </c>
      <c r="L260" s="14" t="str">
        <f t="shared" si="20"/>
        <v>premium</v>
      </c>
      <c r="M260" t="str">
        <f t="shared" si="21"/>
        <v>Salary Eligible</v>
      </c>
      <c r="N260" t="str">
        <f t="shared" si="22"/>
        <v>Auto-loan Eligible</v>
      </c>
      <c r="O260" t="str">
        <f t="shared" si="23"/>
        <v>Follow up</v>
      </c>
      <c r="P260" t="str">
        <f t="shared" si="24"/>
        <v>Loan Customer</v>
      </c>
    </row>
    <row r="261" spans="1:16" x14ac:dyDescent="0.35">
      <c r="A261" s="1">
        <v>4531</v>
      </c>
      <c r="B261" s="1" t="s">
        <v>96</v>
      </c>
      <c r="C261" s="1" t="s">
        <v>15</v>
      </c>
      <c r="D261" s="1" t="s">
        <v>89</v>
      </c>
      <c r="E261" s="1" t="s">
        <v>75</v>
      </c>
      <c r="F261" s="1">
        <v>343236</v>
      </c>
      <c r="G261" s="1">
        <v>93040</v>
      </c>
      <c r="H261" s="1" t="s">
        <v>69</v>
      </c>
      <c r="I261" s="1" t="s">
        <v>79</v>
      </c>
      <c r="J261" s="1" t="s">
        <v>160</v>
      </c>
      <c r="L261" s="14" t="str">
        <f t="shared" si="20"/>
        <v>premium</v>
      </c>
      <c r="M261" t="str">
        <f t="shared" si="21"/>
        <v>Salary Eligible</v>
      </c>
      <c r="N261" t="str">
        <f t="shared" si="22"/>
        <v>Auto-loan Eligible</v>
      </c>
      <c r="O261" t="str">
        <f t="shared" si="23"/>
        <v>Do Not Contact</v>
      </c>
      <c r="P261" t="str">
        <f t="shared" si="24"/>
        <v>Loan Customer</v>
      </c>
    </row>
    <row r="262" spans="1:16" x14ac:dyDescent="0.35">
      <c r="A262" s="1">
        <v>7420</v>
      </c>
      <c r="B262" s="1" t="s">
        <v>99</v>
      </c>
      <c r="C262" s="1" t="s">
        <v>16</v>
      </c>
      <c r="D262" s="1" t="s">
        <v>75</v>
      </c>
      <c r="E262" s="1" t="s">
        <v>75</v>
      </c>
      <c r="F262" s="1">
        <v>549874</v>
      </c>
      <c r="G262" s="1">
        <v>145428</v>
      </c>
      <c r="H262" s="1" t="s">
        <v>65</v>
      </c>
      <c r="I262" s="1" t="s">
        <v>81</v>
      </c>
      <c r="J262" s="1" t="s">
        <v>342</v>
      </c>
      <c r="L262" s="14" t="str">
        <f t="shared" si="20"/>
        <v>premium</v>
      </c>
      <c r="M262" t="str">
        <f t="shared" si="21"/>
        <v>Salary Eligible</v>
      </c>
      <c r="N262" t="str">
        <f t="shared" si="22"/>
        <v>Auto-loan Eligible</v>
      </c>
      <c r="O262" t="str">
        <f t="shared" si="23"/>
        <v>Follow up</v>
      </c>
      <c r="P262" t="str">
        <f t="shared" si="24"/>
        <v>Non Loan Customer</v>
      </c>
    </row>
    <row r="263" spans="1:16" x14ac:dyDescent="0.35">
      <c r="A263" s="1">
        <v>5025</v>
      </c>
      <c r="B263" s="1" t="s">
        <v>5</v>
      </c>
      <c r="C263" s="1" t="s">
        <v>17</v>
      </c>
      <c r="D263" s="1" t="s">
        <v>89</v>
      </c>
      <c r="E263" s="1" t="s">
        <v>75</v>
      </c>
      <c r="F263" s="1">
        <v>25882</v>
      </c>
      <c r="G263" s="1">
        <v>180381</v>
      </c>
      <c r="H263" s="1" t="s">
        <v>65</v>
      </c>
      <c r="I263" s="1" t="s">
        <v>81</v>
      </c>
      <c r="J263" s="1" t="s">
        <v>148</v>
      </c>
      <c r="L263" s="14" t="str">
        <f t="shared" si="20"/>
        <v>Normal</v>
      </c>
      <c r="M263" t="str">
        <f t="shared" si="21"/>
        <v>Salary Eligible</v>
      </c>
      <c r="N263" t="str">
        <f t="shared" si="22"/>
        <v>Not Eligible</v>
      </c>
      <c r="O263" t="str">
        <f t="shared" si="23"/>
        <v>Follow up</v>
      </c>
      <c r="P263" t="str">
        <f t="shared" si="24"/>
        <v>Non Loan Customer</v>
      </c>
    </row>
    <row r="264" spans="1:16" x14ac:dyDescent="0.35">
      <c r="A264" s="1">
        <v>6761</v>
      </c>
      <c r="B264" s="1" t="s">
        <v>92</v>
      </c>
      <c r="C264" s="1" t="s">
        <v>16</v>
      </c>
      <c r="D264" s="1" t="s">
        <v>75</v>
      </c>
      <c r="E264" s="1" t="s">
        <v>72</v>
      </c>
      <c r="F264" s="1">
        <v>214468</v>
      </c>
      <c r="G264" s="1">
        <v>138916</v>
      </c>
      <c r="H264" s="1" t="s">
        <v>69</v>
      </c>
      <c r="I264" s="1" t="s">
        <v>81</v>
      </c>
      <c r="J264" s="1" t="s">
        <v>343</v>
      </c>
      <c r="L264" s="14" t="str">
        <f t="shared" si="20"/>
        <v>Normal</v>
      </c>
      <c r="M264" t="str">
        <f t="shared" si="21"/>
        <v>Salary Eligible</v>
      </c>
      <c r="N264" t="str">
        <f t="shared" si="22"/>
        <v>Auto-loan Eligible</v>
      </c>
      <c r="O264" t="str">
        <f t="shared" si="23"/>
        <v>Follow up</v>
      </c>
      <c r="P264" t="str">
        <f t="shared" si="24"/>
        <v>Loan Customer</v>
      </c>
    </row>
    <row r="265" spans="1:16" x14ac:dyDescent="0.35">
      <c r="A265" s="1">
        <v>6361</v>
      </c>
      <c r="B265" s="1" t="s">
        <v>3</v>
      </c>
      <c r="C265" s="1" t="s">
        <v>17</v>
      </c>
      <c r="D265" s="1" t="s">
        <v>89</v>
      </c>
      <c r="E265" s="1" t="s">
        <v>75</v>
      </c>
      <c r="F265" s="1">
        <v>171304</v>
      </c>
      <c r="G265" s="1">
        <v>196637</v>
      </c>
      <c r="H265" s="1" t="s">
        <v>65</v>
      </c>
      <c r="I265" s="1" t="s">
        <v>81</v>
      </c>
      <c r="J265" s="1" t="s">
        <v>344</v>
      </c>
      <c r="L265" s="14" t="str">
        <f t="shared" si="20"/>
        <v>Normal</v>
      </c>
      <c r="M265" t="str">
        <f t="shared" si="21"/>
        <v>Salary Eligible</v>
      </c>
      <c r="N265" t="str">
        <f t="shared" si="22"/>
        <v>Auto-loan Eligible</v>
      </c>
      <c r="O265" t="str">
        <f t="shared" si="23"/>
        <v>Follow up</v>
      </c>
      <c r="P265" t="str">
        <f t="shared" si="24"/>
        <v>Non Loan Customer</v>
      </c>
    </row>
    <row r="266" spans="1:16" x14ac:dyDescent="0.35">
      <c r="A266" s="1">
        <v>9083</v>
      </c>
      <c r="B266" s="1" t="s">
        <v>99</v>
      </c>
      <c r="C266" s="1" t="s">
        <v>15</v>
      </c>
      <c r="D266" s="1" t="s">
        <v>20</v>
      </c>
      <c r="E266" s="1" t="s">
        <v>89</v>
      </c>
      <c r="F266" s="1">
        <v>890549</v>
      </c>
      <c r="G266" s="1">
        <v>198442</v>
      </c>
      <c r="H266" s="1" t="s">
        <v>69</v>
      </c>
      <c r="I266" s="1" t="s">
        <v>81</v>
      </c>
      <c r="J266" s="1" t="s">
        <v>335</v>
      </c>
      <c r="L266" s="14" t="str">
        <f t="shared" si="20"/>
        <v>premium</v>
      </c>
      <c r="M266" t="str">
        <f t="shared" si="21"/>
        <v>Salary Eligible</v>
      </c>
      <c r="N266" t="str">
        <f t="shared" si="22"/>
        <v>Auto-loan Eligible</v>
      </c>
      <c r="O266" t="str">
        <f t="shared" si="23"/>
        <v>Follow up</v>
      </c>
      <c r="P266" t="str">
        <f t="shared" si="24"/>
        <v>Loan Customer</v>
      </c>
    </row>
    <row r="267" spans="1:16" x14ac:dyDescent="0.35">
      <c r="A267" s="1">
        <v>4172</v>
      </c>
      <c r="B267" s="1" t="s">
        <v>8</v>
      </c>
      <c r="C267" s="1" t="s">
        <v>16</v>
      </c>
      <c r="D267" s="1" t="s">
        <v>64</v>
      </c>
      <c r="E267" s="1" t="s">
        <v>18</v>
      </c>
      <c r="F267" s="1">
        <v>240332</v>
      </c>
      <c r="G267" s="1">
        <v>161070</v>
      </c>
      <c r="H267" s="1" t="s">
        <v>65</v>
      </c>
      <c r="I267" s="1" t="s">
        <v>66</v>
      </c>
      <c r="J267" s="1" t="s">
        <v>345</v>
      </c>
      <c r="L267" s="14" t="str">
        <f t="shared" si="20"/>
        <v>Normal</v>
      </c>
      <c r="M267" t="str">
        <f t="shared" si="21"/>
        <v>Salary Eligible</v>
      </c>
      <c r="N267" t="str">
        <f t="shared" si="22"/>
        <v>Auto-loan Eligible</v>
      </c>
      <c r="O267" t="str">
        <f t="shared" si="23"/>
        <v>Follow up</v>
      </c>
      <c r="P267" t="str">
        <f t="shared" si="24"/>
        <v>Non Loan Customer</v>
      </c>
    </row>
    <row r="268" spans="1:16" x14ac:dyDescent="0.35">
      <c r="A268" s="1">
        <v>6178</v>
      </c>
      <c r="B268" s="1" t="s">
        <v>128</v>
      </c>
      <c r="C268" s="1" t="s">
        <v>17</v>
      </c>
      <c r="D268" s="1" t="s">
        <v>20</v>
      </c>
      <c r="E268" s="1" t="s">
        <v>20</v>
      </c>
      <c r="F268" s="1">
        <v>534344</v>
      </c>
      <c r="G268" s="1">
        <v>43775</v>
      </c>
      <c r="H268" s="1" t="s">
        <v>65</v>
      </c>
      <c r="I268" s="1" t="s">
        <v>79</v>
      </c>
      <c r="J268" s="1" t="s">
        <v>346</v>
      </c>
      <c r="L268" s="14" t="str">
        <f t="shared" si="20"/>
        <v>premium</v>
      </c>
      <c r="M268" t="str">
        <f t="shared" si="21"/>
        <v>Not Eligible</v>
      </c>
      <c r="N268" t="str">
        <f t="shared" si="22"/>
        <v>Not Eligible</v>
      </c>
      <c r="O268" t="str">
        <f t="shared" si="23"/>
        <v>Do Not Contact</v>
      </c>
      <c r="P268" t="str">
        <f t="shared" si="24"/>
        <v>Non Loan Customer</v>
      </c>
    </row>
    <row r="269" spans="1:16" x14ac:dyDescent="0.35">
      <c r="A269" s="1">
        <v>3824</v>
      </c>
      <c r="B269" s="1" t="s">
        <v>99</v>
      </c>
      <c r="C269" s="1" t="s">
        <v>17</v>
      </c>
      <c r="D269" s="1" t="s">
        <v>19</v>
      </c>
      <c r="E269" s="1" t="s">
        <v>89</v>
      </c>
      <c r="F269" s="1">
        <v>446734</v>
      </c>
      <c r="G269" s="1">
        <v>80724</v>
      </c>
      <c r="H269" s="1" t="s">
        <v>69</v>
      </c>
      <c r="I269" s="1" t="s">
        <v>66</v>
      </c>
      <c r="J269" s="1" t="s">
        <v>347</v>
      </c>
      <c r="L269" s="14" t="str">
        <f t="shared" si="20"/>
        <v>premium</v>
      </c>
      <c r="M269" t="str">
        <f t="shared" si="21"/>
        <v>Salary Eligible</v>
      </c>
      <c r="N269" t="str">
        <f t="shared" si="22"/>
        <v>Auto-loan Eligible</v>
      </c>
      <c r="O269" t="str">
        <f t="shared" si="23"/>
        <v>Follow up</v>
      </c>
      <c r="P269" t="str">
        <f t="shared" si="24"/>
        <v>Loan Customer</v>
      </c>
    </row>
    <row r="270" spans="1:16" x14ac:dyDescent="0.35">
      <c r="A270" s="1">
        <v>1001</v>
      </c>
      <c r="B270" s="1" t="s">
        <v>114</v>
      </c>
      <c r="C270" s="1" t="s">
        <v>15</v>
      </c>
      <c r="D270" s="1" t="s">
        <v>75</v>
      </c>
      <c r="E270" s="1" t="s">
        <v>18</v>
      </c>
      <c r="F270" s="1">
        <v>499298</v>
      </c>
      <c r="G270" s="1">
        <v>146995</v>
      </c>
      <c r="H270" s="1" t="s">
        <v>65</v>
      </c>
      <c r="I270" s="1" t="s">
        <v>81</v>
      </c>
      <c r="J270" s="1" t="s">
        <v>348</v>
      </c>
      <c r="L270" s="14" t="str">
        <f t="shared" si="20"/>
        <v>premium</v>
      </c>
      <c r="M270" t="str">
        <f t="shared" si="21"/>
        <v>Salary Eligible</v>
      </c>
      <c r="N270" t="str">
        <f t="shared" si="22"/>
        <v>Auto-loan Eligible</v>
      </c>
      <c r="O270" t="str">
        <f t="shared" si="23"/>
        <v>Follow up</v>
      </c>
      <c r="P270" t="str">
        <f t="shared" si="24"/>
        <v>Non Loan Customer</v>
      </c>
    </row>
    <row r="271" spans="1:16" x14ac:dyDescent="0.35">
      <c r="A271" s="1">
        <v>9078</v>
      </c>
      <c r="B271" s="1" t="s">
        <v>151</v>
      </c>
      <c r="C271" s="1" t="s">
        <v>15</v>
      </c>
      <c r="D271" s="1" t="s">
        <v>89</v>
      </c>
      <c r="E271" s="1" t="s">
        <v>18</v>
      </c>
      <c r="F271" s="1">
        <v>279348</v>
      </c>
      <c r="G271" s="1">
        <v>144572</v>
      </c>
      <c r="H271" s="1" t="s">
        <v>69</v>
      </c>
      <c r="I271" s="1" t="s">
        <v>79</v>
      </c>
      <c r="J271" s="1" t="s">
        <v>349</v>
      </c>
      <c r="L271" s="14" t="str">
        <f t="shared" si="20"/>
        <v>Normal</v>
      </c>
      <c r="M271" t="str">
        <f t="shared" si="21"/>
        <v>Salary Eligible</v>
      </c>
      <c r="N271" t="str">
        <f t="shared" si="22"/>
        <v>Auto-loan Eligible</v>
      </c>
      <c r="O271" t="str">
        <f t="shared" si="23"/>
        <v>Do Not Contact</v>
      </c>
      <c r="P271" t="str">
        <f t="shared" si="24"/>
        <v>Loan Customer</v>
      </c>
    </row>
    <row r="272" spans="1:16" x14ac:dyDescent="0.35">
      <c r="A272" s="1">
        <v>5104</v>
      </c>
      <c r="B272" s="1" t="s">
        <v>92</v>
      </c>
      <c r="C272" s="1" t="s">
        <v>15</v>
      </c>
      <c r="D272" s="1" t="s">
        <v>20</v>
      </c>
      <c r="E272" s="1" t="s">
        <v>18</v>
      </c>
      <c r="F272" s="1">
        <v>514905</v>
      </c>
      <c r="G272" s="1">
        <v>119053</v>
      </c>
      <c r="H272" s="1" t="s">
        <v>69</v>
      </c>
      <c r="I272" s="1" t="s">
        <v>79</v>
      </c>
      <c r="J272" s="1" t="s">
        <v>350</v>
      </c>
      <c r="L272" s="14" t="str">
        <f t="shared" si="20"/>
        <v>premium</v>
      </c>
      <c r="M272" t="str">
        <f t="shared" si="21"/>
        <v>Salary Eligible</v>
      </c>
      <c r="N272" t="str">
        <f t="shared" si="22"/>
        <v>Auto-loan Eligible</v>
      </c>
      <c r="O272" t="str">
        <f t="shared" si="23"/>
        <v>Do Not Contact</v>
      </c>
      <c r="P272" t="str">
        <f t="shared" si="24"/>
        <v>Loan Customer</v>
      </c>
    </row>
    <row r="273" spans="1:16" x14ac:dyDescent="0.35">
      <c r="A273" s="1">
        <v>5917</v>
      </c>
      <c r="B273" s="1" t="s">
        <v>68</v>
      </c>
      <c r="C273" s="1" t="s">
        <v>17</v>
      </c>
      <c r="D273" s="1" t="s">
        <v>72</v>
      </c>
      <c r="E273" s="1" t="s">
        <v>72</v>
      </c>
      <c r="F273" s="1">
        <v>118232</v>
      </c>
      <c r="G273" s="1">
        <v>84434</v>
      </c>
      <c r="H273" s="1" t="s">
        <v>69</v>
      </c>
      <c r="I273" s="1" t="s">
        <v>66</v>
      </c>
      <c r="J273" s="1" t="s">
        <v>351</v>
      </c>
      <c r="L273" s="14" t="str">
        <f t="shared" si="20"/>
        <v>Normal</v>
      </c>
      <c r="M273" t="str">
        <f t="shared" si="21"/>
        <v>Salary Eligible</v>
      </c>
      <c r="N273" t="str">
        <f t="shared" si="22"/>
        <v>Auto-loan Eligible</v>
      </c>
      <c r="O273" t="str">
        <f t="shared" si="23"/>
        <v>Follow up</v>
      </c>
      <c r="P273" t="str">
        <f t="shared" si="24"/>
        <v>Loan Customer</v>
      </c>
    </row>
    <row r="274" spans="1:16" x14ac:dyDescent="0.35">
      <c r="A274" s="1">
        <v>3526</v>
      </c>
      <c r="B274" s="1" t="s">
        <v>177</v>
      </c>
      <c r="C274" s="1" t="s">
        <v>15</v>
      </c>
      <c r="D274" s="1" t="s">
        <v>89</v>
      </c>
      <c r="E274" s="1" t="s">
        <v>20</v>
      </c>
      <c r="F274" s="1">
        <v>636060</v>
      </c>
      <c r="G274" s="1">
        <v>173611</v>
      </c>
      <c r="H274" s="1" t="s">
        <v>65</v>
      </c>
      <c r="I274" s="1" t="s">
        <v>79</v>
      </c>
      <c r="J274" s="1" t="s">
        <v>352</v>
      </c>
      <c r="L274" s="14" t="str">
        <f t="shared" si="20"/>
        <v>premium</v>
      </c>
      <c r="M274" t="str">
        <f t="shared" si="21"/>
        <v>Salary Eligible</v>
      </c>
      <c r="N274" t="str">
        <f t="shared" si="22"/>
        <v>Auto-loan Eligible</v>
      </c>
      <c r="O274" t="str">
        <f t="shared" si="23"/>
        <v>Do Not Contact</v>
      </c>
      <c r="P274" t="str">
        <f t="shared" si="24"/>
        <v>Non Loan Customer</v>
      </c>
    </row>
    <row r="275" spans="1:16" x14ac:dyDescent="0.35">
      <c r="A275" s="1">
        <v>8249</v>
      </c>
      <c r="B275" s="1" t="s">
        <v>5</v>
      </c>
      <c r="C275" s="1" t="s">
        <v>17</v>
      </c>
      <c r="D275" s="1" t="s">
        <v>75</v>
      </c>
      <c r="E275" s="1" t="s">
        <v>18</v>
      </c>
      <c r="F275" s="1">
        <v>167568</v>
      </c>
      <c r="G275" s="1">
        <v>30864</v>
      </c>
      <c r="H275" s="1" t="s">
        <v>65</v>
      </c>
      <c r="I275" s="1" t="s">
        <v>66</v>
      </c>
      <c r="J275" s="1" t="s">
        <v>340</v>
      </c>
      <c r="L275" s="14" t="str">
        <f t="shared" si="20"/>
        <v>Normal</v>
      </c>
      <c r="M275" t="str">
        <f t="shared" si="21"/>
        <v>Not Eligible</v>
      </c>
      <c r="N275" t="str">
        <f t="shared" si="22"/>
        <v>Not Eligible</v>
      </c>
      <c r="O275" t="str">
        <f t="shared" si="23"/>
        <v>Follow up</v>
      </c>
      <c r="P275" t="str">
        <f t="shared" si="24"/>
        <v>Non Loan Customer</v>
      </c>
    </row>
    <row r="276" spans="1:16" x14ac:dyDescent="0.35">
      <c r="A276" s="1">
        <v>8582</v>
      </c>
      <c r="B276" s="1" t="s">
        <v>96</v>
      </c>
      <c r="C276" s="1" t="s">
        <v>17</v>
      </c>
      <c r="D276" s="1" t="s">
        <v>75</v>
      </c>
      <c r="E276" s="1" t="s">
        <v>75</v>
      </c>
      <c r="F276" s="1">
        <v>788553</v>
      </c>
      <c r="G276" s="1">
        <v>159570</v>
      </c>
      <c r="H276" s="1" t="s">
        <v>65</v>
      </c>
      <c r="I276" s="1" t="s">
        <v>81</v>
      </c>
      <c r="J276" s="1" t="s">
        <v>353</v>
      </c>
      <c r="L276" s="14" t="str">
        <f t="shared" si="20"/>
        <v>premium</v>
      </c>
      <c r="M276" t="str">
        <f t="shared" si="21"/>
        <v>Salary Eligible</v>
      </c>
      <c r="N276" t="str">
        <f t="shared" si="22"/>
        <v>Auto-loan Eligible</v>
      </c>
      <c r="O276" t="str">
        <f t="shared" si="23"/>
        <v>Follow up</v>
      </c>
      <c r="P276" t="str">
        <f t="shared" si="24"/>
        <v>Non Loan Customer</v>
      </c>
    </row>
    <row r="277" spans="1:16" x14ac:dyDescent="0.35">
      <c r="A277" s="1">
        <v>7746</v>
      </c>
      <c r="B277" s="1" t="s">
        <v>14</v>
      </c>
      <c r="C277" s="1" t="s">
        <v>16</v>
      </c>
      <c r="D277" s="1" t="s">
        <v>72</v>
      </c>
      <c r="E277" s="1" t="s">
        <v>64</v>
      </c>
      <c r="F277" s="1">
        <v>751650</v>
      </c>
      <c r="G277" s="1">
        <v>186664</v>
      </c>
      <c r="H277" s="1" t="s">
        <v>69</v>
      </c>
      <c r="I277" s="1" t="s">
        <v>66</v>
      </c>
      <c r="J277" s="1" t="s">
        <v>232</v>
      </c>
      <c r="L277" s="14" t="str">
        <f t="shared" si="20"/>
        <v>premium</v>
      </c>
      <c r="M277" t="str">
        <f t="shared" si="21"/>
        <v>Salary Eligible</v>
      </c>
      <c r="N277" t="str">
        <f t="shared" si="22"/>
        <v>Auto-loan Eligible</v>
      </c>
      <c r="O277" t="str">
        <f t="shared" si="23"/>
        <v>Follow up</v>
      </c>
      <c r="P277" t="str">
        <f t="shared" si="24"/>
        <v>Loan Customer</v>
      </c>
    </row>
    <row r="278" spans="1:16" x14ac:dyDescent="0.35">
      <c r="A278" s="1">
        <v>8277</v>
      </c>
      <c r="B278" s="1" t="s">
        <v>114</v>
      </c>
      <c r="C278" s="1" t="s">
        <v>16</v>
      </c>
      <c r="D278" s="1" t="s">
        <v>18</v>
      </c>
      <c r="E278" s="1" t="s">
        <v>18</v>
      </c>
      <c r="F278" s="1">
        <v>600807</v>
      </c>
      <c r="G278" s="1">
        <v>76476</v>
      </c>
      <c r="H278" s="1" t="s">
        <v>65</v>
      </c>
      <c r="I278" s="1" t="s">
        <v>79</v>
      </c>
      <c r="J278" s="1" t="s">
        <v>354</v>
      </c>
      <c r="L278" s="14" t="str">
        <f t="shared" si="20"/>
        <v>premium</v>
      </c>
      <c r="M278" t="str">
        <f t="shared" si="21"/>
        <v>Salary Eligible</v>
      </c>
      <c r="N278" t="str">
        <f t="shared" si="22"/>
        <v>Auto-loan Eligible</v>
      </c>
      <c r="O278" t="str">
        <f t="shared" si="23"/>
        <v>Do Not Contact</v>
      </c>
      <c r="P278" t="str">
        <f t="shared" si="24"/>
        <v>Non Loan Customer</v>
      </c>
    </row>
    <row r="279" spans="1:16" x14ac:dyDescent="0.35">
      <c r="A279" s="1">
        <v>5195</v>
      </c>
      <c r="B279" s="1" t="s">
        <v>8</v>
      </c>
      <c r="C279" s="1" t="s">
        <v>17</v>
      </c>
      <c r="D279" s="1" t="s">
        <v>72</v>
      </c>
      <c r="E279" s="1" t="s">
        <v>20</v>
      </c>
      <c r="F279" s="1">
        <v>500854</v>
      </c>
      <c r="G279" s="1">
        <v>103319</v>
      </c>
      <c r="H279" s="1" t="s">
        <v>69</v>
      </c>
      <c r="I279" s="1" t="s">
        <v>66</v>
      </c>
      <c r="J279" s="1" t="s">
        <v>355</v>
      </c>
      <c r="L279" s="14" t="str">
        <f t="shared" si="20"/>
        <v>premium</v>
      </c>
      <c r="M279" t="str">
        <f t="shared" si="21"/>
        <v>Salary Eligible</v>
      </c>
      <c r="N279" t="str">
        <f t="shared" si="22"/>
        <v>Auto-loan Eligible</v>
      </c>
      <c r="O279" t="str">
        <f t="shared" si="23"/>
        <v>Follow up</v>
      </c>
      <c r="P279" t="str">
        <f t="shared" si="24"/>
        <v>Loan Customer</v>
      </c>
    </row>
    <row r="280" spans="1:16" x14ac:dyDescent="0.35">
      <c r="A280" s="1">
        <v>7642</v>
      </c>
      <c r="B280" s="1" t="s">
        <v>77</v>
      </c>
      <c r="C280" s="1" t="s">
        <v>17</v>
      </c>
      <c r="D280" s="1" t="s">
        <v>89</v>
      </c>
      <c r="E280" s="1" t="s">
        <v>72</v>
      </c>
      <c r="F280" s="1">
        <v>218513</v>
      </c>
      <c r="G280" s="1">
        <v>119757</v>
      </c>
      <c r="H280" s="1" t="s">
        <v>69</v>
      </c>
      <c r="I280" s="1" t="s">
        <v>79</v>
      </c>
      <c r="J280" s="1" t="s">
        <v>356</v>
      </c>
      <c r="L280" s="14" t="str">
        <f t="shared" si="20"/>
        <v>Normal</v>
      </c>
      <c r="M280" t="str">
        <f t="shared" si="21"/>
        <v>Salary Eligible</v>
      </c>
      <c r="N280" t="str">
        <f t="shared" si="22"/>
        <v>Auto-loan Eligible</v>
      </c>
      <c r="O280" t="str">
        <f t="shared" si="23"/>
        <v>Do Not Contact</v>
      </c>
      <c r="P280" t="str">
        <f t="shared" si="24"/>
        <v>Loan Customer</v>
      </c>
    </row>
    <row r="281" spans="1:16" x14ac:dyDescent="0.35">
      <c r="A281" s="1">
        <v>9272</v>
      </c>
      <c r="B281" s="1" t="s">
        <v>96</v>
      </c>
      <c r="C281" s="1" t="s">
        <v>15</v>
      </c>
      <c r="D281" s="1" t="s">
        <v>20</v>
      </c>
      <c r="E281" s="1" t="s">
        <v>19</v>
      </c>
      <c r="F281" s="1">
        <v>48709</v>
      </c>
      <c r="G281" s="1">
        <v>83021</v>
      </c>
      <c r="H281" s="1" t="s">
        <v>65</v>
      </c>
      <c r="I281" s="1" t="s">
        <v>79</v>
      </c>
      <c r="J281" s="1" t="s">
        <v>357</v>
      </c>
      <c r="L281" s="14" t="str">
        <f t="shared" si="20"/>
        <v>Normal</v>
      </c>
      <c r="M281" t="str">
        <f t="shared" si="21"/>
        <v>Salary Eligible</v>
      </c>
      <c r="N281" t="str">
        <f t="shared" si="22"/>
        <v>Not Eligible</v>
      </c>
      <c r="O281" t="str">
        <f t="shared" si="23"/>
        <v>Do Not Contact</v>
      </c>
      <c r="P281" t="str">
        <f t="shared" si="24"/>
        <v>Non Loan Customer</v>
      </c>
    </row>
    <row r="282" spans="1:16" x14ac:dyDescent="0.35">
      <c r="A282" s="1">
        <v>9493</v>
      </c>
      <c r="B282" s="1" t="s">
        <v>102</v>
      </c>
      <c r="C282" s="1" t="s">
        <v>17</v>
      </c>
      <c r="D282" s="1" t="s">
        <v>19</v>
      </c>
      <c r="E282" s="1" t="s">
        <v>72</v>
      </c>
      <c r="F282" s="1">
        <v>134312</v>
      </c>
      <c r="G282" s="1">
        <v>81664</v>
      </c>
      <c r="H282" s="1" t="s">
        <v>69</v>
      </c>
      <c r="I282" s="1" t="s">
        <v>79</v>
      </c>
      <c r="J282" s="1" t="s">
        <v>358</v>
      </c>
      <c r="L282" s="14" t="str">
        <f t="shared" si="20"/>
        <v>Normal</v>
      </c>
      <c r="M282" t="str">
        <f t="shared" si="21"/>
        <v>Salary Eligible</v>
      </c>
      <c r="N282" t="str">
        <f t="shared" si="22"/>
        <v>Auto-loan Eligible</v>
      </c>
      <c r="O282" t="str">
        <f t="shared" si="23"/>
        <v>Do Not Contact</v>
      </c>
      <c r="P282" t="str">
        <f t="shared" si="24"/>
        <v>Loan Customer</v>
      </c>
    </row>
    <row r="283" spans="1:16" x14ac:dyDescent="0.35">
      <c r="A283" s="1">
        <v>9459</v>
      </c>
      <c r="B283" s="1" t="s">
        <v>177</v>
      </c>
      <c r="C283" s="1" t="s">
        <v>15</v>
      </c>
      <c r="D283" s="1" t="s">
        <v>72</v>
      </c>
      <c r="E283" s="1" t="s">
        <v>20</v>
      </c>
      <c r="F283" s="1">
        <v>336731</v>
      </c>
      <c r="G283" s="1">
        <v>147275</v>
      </c>
      <c r="H283" s="1" t="s">
        <v>65</v>
      </c>
      <c r="I283" s="1" t="s">
        <v>66</v>
      </c>
      <c r="J283" s="1" t="s">
        <v>358</v>
      </c>
      <c r="L283" s="14" t="str">
        <f t="shared" si="20"/>
        <v>premium</v>
      </c>
      <c r="M283" t="str">
        <f t="shared" si="21"/>
        <v>Salary Eligible</v>
      </c>
      <c r="N283" t="str">
        <f t="shared" si="22"/>
        <v>Auto-loan Eligible</v>
      </c>
      <c r="O283" t="str">
        <f t="shared" si="23"/>
        <v>Follow up</v>
      </c>
      <c r="P283" t="str">
        <f t="shared" si="24"/>
        <v>Non Loan Customer</v>
      </c>
    </row>
    <row r="284" spans="1:16" x14ac:dyDescent="0.35">
      <c r="A284" s="1">
        <v>6481</v>
      </c>
      <c r="B284" s="1" t="s">
        <v>68</v>
      </c>
      <c r="C284" s="1" t="s">
        <v>17</v>
      </c>
      <c r="D284" s="1" t="s">
        <v>89</v>
      </c>
      <c r="E284" s="1" t="s">
        <v>64</v>
      </c>
      <c r="F284" s="1">
        <v>680832</v>
      </c>
      <c r="G284" s="1">
        <v>37286</v>
      </c>
      <c r="H284" s="1" t="s">
        <v>69</v>
      </c>
      <c r="I284" s="1" t="s">
        <v>79</v>
      </c>
      <c r="J284" s="1" t="s">
        <v>359</v>
      </c>
      <c r="L284" s="14" t="str">
        <f t="shared" si="20"/>
        <v>premium</v>
      </c>
      <c r="M284" t="str">
        <f t="shared" si="21"/>
        <v>Not Eligible</v>
      </c>
      <c r="N284" t="str">
        <f t="shared" si="22"/>
        <v>Not Eligible</v>
      </c>
      <c r="O284" t="str">
        <f t="shared" si="23"/>
        <v>Do Not Contact</v>
      </c>
      <c r="P284" t="str">
        <f t="shared" si="24"/>
        <v>Loan Customer</v>
      </c>
    </row>
    <row r="285" spans="1:16" x14ac:dyDescent="0.35">
      <c r="A285" s="1">
        <v>6007</v>
      </c>
      <c r="B285" s="1" t="s">
        <v>8</v>
      </c>
      <c r="C285" s="1" t="s">
        <v>17</v>
      </c>
      <c r="D285" s="1" t="s">
        <v>75</v>
      </c>
      <c r="E285" s="1" t="s">
        <v>72</v>
      </c>
      <c r="F285" s="1">
        <v>683633</v>
      </c>
      <c r="G285" s="1">
        <v>30239</v>
      </c>
      <c r="H285" s="1" t="s">
        <v>69</v>
      </c>
      <c r="I285" s="1" t="s">
        <v>79</v>
      </c>
      <c r="J285" s="1" t="s">
        <v>360</v>
      </c>
      <c r="L285" s="14" t="str">
        <f t="shared" si="20"/>
        <v>premium</v>
      </c>
      <c r="M285" t="str">
        <f t="shared" si="21"/>
        <v>Not Eligible</v>
      </c>
      <c r="N285" t="str">
        <f t="shared" si="22"/>
        <v>Not Eligible</v>
      </c>
      <c r="O285" t="str">
        <f t="shared" si="23"/>
        <v>Do Not Contact</v>
      </c>
      <c r="P285" t="str">
        <f t="shared" si="24"/>
        <v>Loan Customer</v>
      </c>
    </row>
    <row r="286" spans="1:16" x14ac:dyDescent="0.35">
      <c r="A286" s="1">
        <v>1210</v>
      </c>
      <c r="B286" s="1" t="s">
        <v>6</v>
      </c>
      <c r="C286" s="1" t="s">
        <v>15</v>
      </c>
      <c r="D286" s="1" t="s">
        <v>89</v>
      </c>
      <c r="E286" s="1" t="s">
        <v>18</v>
      </c>
      <c r="F286" s="1">
        <v>280976</v>
      </c>
      <c r="G286" s="1">
        <v>89283</v>
      </c>
      <c r="H286" s="1" t="s">
        <v>65</v>
      </c>
      <c r="I286" s="1" t="s">
        <v>66</v>
      </c>
      <c r="J286" s="1" t="s">
        <v>361</v>
      </c>
      <c r="L286" s="14" t="str">
        <f t="shared" si="20"/>
        <v>Normal</v>
      </c>
      <c r="M286" t="str">
        <f t="shared" si="21"/>
        <v>Salary Eligible</v>
      </c>
      <c r="N286" t="str">
        <f t="shared" si="22"/>
        <v>Auto-loan Eligible</v>
      </c>
      <c r="O286" t="str">
        <f t="shared" si="23"/>
        <v>Follow up</v>
      </c>
      <c r="P286" t="str">
        <f t="shared" si="24"/>
        <v>Non Loan Customer</v>
      </c>
    </row>
    <row r="287" spans="1:16" x14ac:dyDescent="0.35">
      <c r="A287" s="1">
        <v>9787</v>
      </c>
      <c r="B287" s="1" t="s">
        <v>141</v>
      </c>
      <c r="C287" s="1" t="s">
        <v>15</v>
      </c>
      <c r="D287" s="1" t="s">
        <v>64</v>
      </c>
      <c r="E287" s="1" t="s">
        <v>18</v>
      </c>
      <c r="F287" s="1">
        <v>880905</v>
      </c>
      <c r="G287" s="1">
        <v>138411</v>
      </c>
      <c r="H287" s="1" t="s">
        <v>69</v>
      </c>
      <c r="I287" s="1" t="s">
        <v>66</v>
      </c>
      <c r="J287" s="1" t="s">
        <v>350</v>
      </c>
      <c r="L287" s="14" t="str">
        <f t="shared" si="20"/>
        <v>premium</v>
      </c>
      <c r="M287" t="str">
        <f t="shared" si="21"/>
        <v>Salary Eligible</v>
      </c>
      <c r="N287" t="str">
        <f t="shared" si="22"/>
        <v>Auto-loan Eligible</v>
      </c>
      <c r="O287" t="str">
        <f t="shared" si="23"/>
        <v>Follow up</v>
      </c>
      <c r="P287" t="str">
        <f t="shared" si="24"/>
        <v>Loan Customer</v>
      </c>
    </row>
    <row r="288" spans="1:16" x14ac:dyDescent="0.35">
      <c r="A288" s="1">
        <v>6072</v>
      </c>
      <c r="B288" s="1" t="s">
        <v>96</v>
      </c>
      <c r="C288" s="1" t="s">
        <v>16</v>
      </c>
      <c r="D288" s="1" t="s">
        <v>20</v>
      </c>
      <c r="E288" s="1" t="s">
        <v>89</v>
      </c>
      <c r="F288" s="1">
        <v>385173</v>
      </c>
      <c r="G288" s="1">
        <v>138565</v>
      </c>
      <c r="H288" s="1" t="s">
        <v>65</v>
      </c>
      <c r="I288" s="1" t="s">
        <v>81</v>
      </c>
      <c r="J288" s="1" t="s">
        <v>362</v>
      </c>
      <c r="L288" s="14" t="str">
        <f t="shared" si="20"/>
        <v>premium</v>
      </c>
      <c r="M288" t="str">
        <f t="shared" si="21"/>
        <v>Salary Eligible</v>
      </c>
      <c r="N288" t="str">
        <f t="shared" si="22"/>
        <v>Auto-loan Eligible</v>
      </c>
      <c r="O288" t="str">
        <f t="shared" si="23"/>
        <v>Follow up</v>
      </c>
      <c r="P288" t="str">
        <f t="shared" si="24"/>
        <v>Non Loan Customer</v>
      </c>
    </row>
    <row r="289" spans="1:16" x14ac:dyDescent="0.35">
      <c r="A289" s="1">
        <v>9712</v>
      </c>
      <c r="B289" s="1" t="s">
        <v>3</v>
      </c>
      <c r="C289" s="1" t="s">
        <v>16</v>
      </c>
      <c r="D289" s="1" t="s">
        <v>64</v>
      </c>
      <c r="E289" s="1" t="s">
        <v>72</v>
      </c>
      <c r="F289" s="1">
        <v>678468</v>
      </c>
      <c r="G289" s="1">
        <v>97763</v>
      </c>
      <c r="H289" s="1" t="s">
        <v>65</v>
      </c>
      <c r="I289" s="1" t="s">
        <v>66</v>
      </c>
      <c r="J289" s="1" t="s">
        <v>363</v>
      </c>
      <c r="L289" s="14" t="str">
        <f t="shared" si="20"/>
        <v>premium</v>
      </c>
      <c r="M289" t="str">
        <f t="shared" si="21"/>
        <v>Salary Eligible</v>
      </c>
      <c r="N289" t="str">
        <f t="shared" si="22"/>
        <v>Auto-loan Eligible</v>
      </c>
      <c r="O289" t="str">
        <f t="shared" si="23"/>
        <v>Follow up</v>
      </c>
      <c r="P289" t="str">
        <f t="shared" si="24"/>
        <v>Non Loan Customer</v>
      </c>
    </row>
    <row r="290" spans="1:16" x14ac:dyDescent="0.35">
      <c r="A290" s="1">
        <v>4482</v>
      </c>
      <c r="B290" s="1" t="s">
        <v>7</v>
      </c>
      <c r="C290" s="1" t="s">
        <v>16</v>
      </c>
      <c r="D290" s="1" t="s">
        <v>18</v>
      </c>
      <c r="E290" s="1" t="s">
        <v>72</v>
      </c>
      <c r="F290" s="1">
        <v>854059</v>
      </c>
      <c r="G290" s="1">
        <v>85665</v>
      </c>
      <c r="H290" s="1" t="s">
        <v>65</v>
      </c>
      <c r="I290" s="1" t="s">
        <v>66</v>
      </c>
      <c r="J290" s="1" t="s">
        <v>364</v>
      </c>
      <c r="L290" s="14" t="str">
        <f t="shared" si="20"/>
        <v>premium</v>
      </c>
      <c r="M290" t="str">
        <f t="shared" si="21"/>
        <v>Salary Eligible</v>
      </c>
      <c r="N290" t="str">
        <f t="shared" si="22"/>
        <v>Auto-loan Eligible</v>
      </c>
      <c r="O290" t="str">
        <f t="shared" si="23"/>
        <v>Follow up</v>
      </c>
      <c r="P290" t="str">
        <f t="shared" si="24"/>
        <v>Non Loan Customer</v>
      </c>
    </row>
    <row r="291" spans="1:16" x14ac:dyDescent="0.35">
      <c r="A291" s="1">
        <v>7712</v>
      </c>
      <c r="B291" s="1" t="s">
        <v>141</v>
      </c>
      <c r="C291" s="1" t="s">
        <v>17</v>
      </c>
      <c r="D291" s="1" t="s">
        <v>72</v>
      </c>
      <c r="E291" s="1" t="s">
        <v>18</v>
      </c>
      <c r="F291" s="1">
        <v>612054</v>
      </c>
      <c r="G291" s="1">
        <v>86452</v>
      </c>
      <c r="H291" s="1" t="s">
        <v>69</v>
      </c>
      <c r="I291" s="1" t="s">
        <v>79</v>
      </c>
      <c r="J291" s="1" t="s">
        <v>365</v>
      </c>
      <c r="L291" s="14" t="str">
        <f t="shared" si="20"/>
        <v>premium</v>
      </c>
      <c r="M291" t="str">
        <f t="shared" si="21"/>
        <v>Salary Eligible</v>
      </c>
      <c r="N291" t="str">
        <f t="shared" si="22"/>
        <v>Auto-loan Eligible</v>
      </c>
      <c r="O291" t="str">
        <f t="shared" si="23"/>
        <v>Do Not Contact</v>
      </c>
      <c r="P291" t="str">
        <f t="shared" si="24"/>
        <v>Loan Customer</v>
      </c>
    </row>
    <row r="292" spans="1:16" x14ac:dyDescent="0.35">
      <c r="A292" s="1">
        <v>2961</v>
      </c>
      <c r="B292" s="1" t="s">
        <v>7</v>
      </c>
      <c r="C292" s="1" t="s">
        <v>16</v>
      </c>
      <c r="D292" s="1" t="s">
        <v>20</v>
      </c>
      <c r="E292" s="1" t="s">
        <v>72</v>
      </c>
      <c r="F292" s="1">
        <v>473176</v>
      </c>
      <c r="G292" s="1">
        <v>94118</v>
      </c>
      <c r="H292" s="1" t="s">
        <v>65</v>
      </c>
      <c r="I292" s="1" t="s">
        <v>79</v>
      </c>
      <c r="J292" s="1" t="s">
        <v>366</v>
      </c>
      <c r="L292" s="14" t="str">
        <f t="shared" si="20"/>
        <v>premium</v>
      </c>
      <c r="M292" t="str">
        <f t="shared" si="21"/>
        <v>Salary Eligible</v>
      </c>
      <c r="N292" t="str">
        <f t="shared" si="22"/>
        <v>Auto-loan Eligible</v>
      </c>
      <c r="O292" t="str">
        <f t="shared" si="23"/>
        <v>Do Not Contact</v>
      </c>
      <c r="P292" t="str">
        <f t="shared" si="24"/>
        <v>Non Loan Customer</v>
      </c>
    </row>
    <row r="293" spans="1:16" x14ac:dyDescent="0.35">
      <c r="A293" s="1">
        <v>1341</v>
      </c>
      <c r="B293" s="1" t="s">
        <v>114</v>
      </c>
      <c r="C293" s="1" t="s">
        <v>16</v>
      </c>
      <c r="D293" s="1" t="s">
        <v>20</v>
      </c>
      <c r="E293" s="1" t="s">
        <v>18</v>
      </c>
      <c r="F293" s="1">
        <v>617912</v>
      </c>
      <c r="G293" s="1">
        <v>185354</v>
      </c>
      <c r="H293" s="1" t="s">
        <v>65</v>
      </c>
      <c r="I293" s="1" t="s">
        <v>81</v>
      </c>
      <c r="J293" s="1" t="s">
        <v>367</v>
      </c>
      <c r="L293" s="14" t="str">
        <f t="shared" si="20"/>
        <v>premium</v>
      </c>
      <c r="M293" t="str">
        <f t="shared" si="21"/>
        <v>Salary Eligible</v>
      </c>
      <c r="N293" t="str">
        <f t="shared" si="22"/>
        <v>Auto-loan Eligible</v>
      </c>
      <c r="O293" t="str">
        <f t="shared" si="23"/>
        <v>Follow up</v>
      </c>
      <c r="P293" t="str">
        <f t="shared" si="24"/>
        <v>Non Loan Customer</v>
      </c>
    </row>
    <row r="294" spans="1:16" x14ac:dyDescent="0.35">
      <c r="A294" s="1">
        <v>4564</v>
      </c>
      <c r="B294" s="1" t="s">
        <v>14</v>
      </c>
      <c r="C294" s="1" t="s">
        <v>17</v>
      </c>
      <c r="D294" s="1" t="s">
        <v>19</v>
      </c>
      <c r="E294" s="1" t="s">
        <v>72</v>
      </c>
      <c r="F294" s="1">
        <v>756232</v>
      </c>
      <c r="G294" s="1">
        <v>70713</v>
      </c>
      <c r="H294" s="1" t="s">
        <v>69</v>
      </c>
      <c r="I294" s="1" t="s">
        <v>66</v>
      </c>
      <c r="J294" s="1" t="s">
        <v>368</v>
      </c>
      <c r="L294" s="14" t="str">
        <f t="shared" si="20"/>
        <v>premium</v>
      </c>
      <c r="M294" t="str">
        <f t="shared" si="21"/>
        <v>Salary Eligible</v>
      </c>
      <c r="N294" t="str">
        <f t="shared" si="22"/>
        <v>Not Eligible</v>
      </c>
      <c r="O294" t="str">
        <f t="shared" si="23"/>
        <v>Follow up</v>
      </c>
      <c r="P294" t="str">
        <f t="shared" si="24"/>
        <v>Loan Customer</v>
      </c>
    </row>
    <row r="295" spans="1:16" x14ac:dyDescent="0.35">
      <c r="A295" s="1">
        <v>2170</v>
      </c>
      <c r="B295" s="1" t="s">
        <v>4</v>
      </c>
      <c r="C295" s="1" t="s">
        <v>16</v>
      </c>
      <c r="D295" s="1" t="s">
        <v>89</v>
      </c>
      <c r="E295" s="1" t="s">
        <v>20</v>
      </c>
      <c r="F295" s="1">
        <v>591597</v>
      </c>
      <c r="G295" s="1">
        <v>140673</v>
      </c>
      <c r="H295" s="1" t="s">
        <v>69</v>
      </c>
      <c r="I295" s="1" t="s">
        <v>81</v>
      </c>
      <c r="J295" s="1" t="s">
        <v>369</v>
      </c>
      <c r="L295" s="14" t="str">
        <f t="shared" si="20"/>
        <v>premium</v>
      </c>
      <c r="M295" t="str">
        <f t="shared" si="21"/>
        <v>Salary Eligible</v>
      </c>
      <c r="N295" t="str">
        <f t="shared" si="22"/>
        <v>Auto-loan Eligible</v>
      </c>
      <c r="O295" t="str">
        <f t="shared" si="23"/>
        <v>Follow up</v>
      </c>
      <c r="P295" t="str">
        <f t="shared" si="24"/>
        <v>Loan Customer</v>
      </c>
    </row>
    <row r="296" spans="1:16" x14ac:dyDescent="0.35">
      <c r="A296" s="1">
        <v>7680</v>
      </c>
      <c r="B296" s="1" t="s">
        <v>8</v>
      </c>
      <c r="C296" s="1" t="s">
        <v>15</v>
      </c>
      <c r="D296" s="1" t="s">
        <v>89</v>
      </c>
      <c r="E296" s="1" t="s">
        <v>20</v>
      </c>
      <c r="F296" s="1">
        <v>675441</v>
      </c>
      <c r="G296" s="1">
        <v>143069</v>
      </c>
      <c r="H296" s="1" t="s">
        <v>65</v>
      </c>
      <c r="I296" s="1" t="s">
        <v>66</v>
      </c>
      <c r="J296" s="1" t="s">
        <v>370</v>
      </c>
      <c r="L296" s="14" t="str">
        <f t="shared" si="20"/>
        <v>premium</v>
      </c>
      <c r="M296" t="str">
        <f t="shared" si="21"/>
        <v>Salary Eligible</v>
      </c>
      <c r="N296" t="str">
        <f t="shared" si="22"/>
        <v>Auto-loan Eligible</v>
      </c>
      <c r="O296" t="str">
        <f t="shared" si="23"/>
        <v>Follow up</v>
      </c>
      <c r="P296" t="str">
        <f t="shared" si="24"/>
        <v>Non Loan Customer</v>
      </c>
    </row>
    <row r="297" spans="1:16" x14ac:dyDescent="0.35">
      <c r="A297" s="1">
        <v>1748</v>
      </c>
      <c r="B297" s="1" t="s">
        <v>71</v>
      </c>
      <c r="C297" s="1" t="s">
        <v>15</v>
      </c>
      <c r="D297" s="1" t="s">
        <v>72</v>
      </c>
      <c r="E297" s="1" t="s">
        <v>20</v>
      </c>
      <c r="F297" s="1">
        <v>249773</v>
      </c>
      <c r="G297" s="1">
        <v>89357</v>
      </c>
      <c r="H297" s="1" t="s">
        <v>65</v>
      </c>
      <c r="I297" s="1" t="s">
        <v>66</v>
      </c>
      <c r="J297" s="1" t="s">
        <v>371</v>
      </c>
      <c r="L297" s="14" t="str">
        <f t="shared" si="20"/>
        <v>Normal</v>
      </c>
      <c r="M297" t="str">
        <f t="shared" si="21"/>
        <v>Salary Eligible</v>
      </c>
      <c r="N297" t="str">
        <f t="shared" si="22"/>
        <v>Auto-loan Eligible</v>
      </c>
      <c r="O297" t="str">
        <f t="shared" si="23"/>
        <v>Follow up</v>
      </c>
      <c r="P297" t="str">
        <f t="shared" si="24"/>
        <v>Non Loan Customer</v>
      </c>
    </row>
    <row r="298" spans="1:16" x14ac:dyDescent="0.35">
      <c r="A298" s="1">
        <v>2138</v>
      </c>
      <c r="B298" s="1" t="s">
        <v>94</v>
      </c>
      <c r="C298" s="1" t="s">
        <v>17</v>
      </c>
      <c r="D298" s="1" t="s">
        <v>89</v>
      </c>
      <c r="E298" s="1" t="s">
        <v>75</v>
      </c>
      <c r="F298" s="1">
        <v>491167</v>
      </c>
      <c r="G298" s="1">
        <v>168792</v>
      </c>
      <c r="H298" s="1" t="s">
        <v>69</v>
      </c>
      <c r="I298" s="1" t="s">
        <v>81</v>
      </c>
      <c r="J298" s="1" t="s">
        <v>372</v>
      </c>
      <c r="L298" s="14" t="str">
        <f t="shared" si="20"/>
        <v>premium</v>
      </c>
      <c r="M298" t="str">
        <f t="shared" si="21"/>
        <v>Salary Eligible</v>
      </c>
      <c r="N298" t="str">
        <f t="shared" si="22"/>
        <v>Auto-loan Eligible</v>
      </c>
      <c r="O298" t="str">
        <f t="shared" si="23"/>
        <v>Follow up</v>
      </c>
      <c r="P298" t="str">
        <f t="shared" si="24"/>
        <v>Loan Customer</v>
      </c>
    </row>
    <row r="299" spans="1:16" x14ac:dyDescent="0.35">
      <c r="A299" s="1">
        <v>6253</v>
      </c>
      <c r="B299" s="1" t="s">
        <v>102</v>
      </c>
      <c r="C299" s="1" t="s">
        <v>15</v>
      </c>
      <c r="D299" s="1" t="s">
        <v>18</v>
      </c>
      <c r="E299" s="1" t="s">
        <v>18</v>
      </c>
      <c r="F299" s="1">
        <v>172413</v>
      </c>
      <c r="G299" s="1">
        <v>132170</v>
      </c>
      <c r="H299" s="1" t="s">
        <v>69</v>
      </c>
      <c r="I299" s="1" t="s">
        <v>66</v>
      </c>
      <c r="J299" s="1" t="s">
        <v>373</v>
      </c>
      <c r="L299" s="14" t="str">
        <f t="shared" si="20"/>
        <v>Normal</v>
      </c>
      <c r="M299" t="str">
        <f t="shared" si="21"/>
        <v>Salary Eligible</v>
      </c>
      <c r="N299" t="str">
        <f t="shared" si="22"/>
        <v>Auto-loan Eligible</v>
      </c>
      <c r="O299" t="str">
        <f t="shared" si="23"/>
        <v>Follow up</v>
      </c>
      <c r="P299" t="str">
        <f t="shared" si="24"/>
        <v>Loan Customer</v>
      </c>
    </row>
    <row r="300" spans="1:16" x14ac:dyDescent="0.35">
      <c r="A300" s="1">
        <v>6958</v>
      </c>
      <c r="B300" s="1" t="s">
        <v>5</v>
      </c>
      <c r="C300" s="1" t="s">
        <v>17</v>
      </c>
      <c r="D300" s="1" t="s">
        <v>19</v>
      </c>
      <c r="E300" s="1" t="s">
        <v>75</v>
      </c>
      <c r="F300" s="1">
        <v>532351</v>
      </c>
      <c r="G300" s="1">
        <v>142801</v>
      </c>
      <c r="H300" s="1" t="s">
        <v>69</v>
      </c>
      <c r="I300" s="1" t="s">
        <v>66</v>
      </c>
      <c r="J300" s="1" t="s">
        <v>374</v>
      </c>
      <c r="L300" s="14" t="str">
        <f t="shared" si="20"/>
        <v>premium</v>
      </c>
      <c r="M300" t="str">
        <f t="shared" si="21"/>
        <v>Salary Eligible</v>
      </c>
      <c r="N300" t="str">
        <f t="shared" si="22"/>
        <v>Auto-loan Eligible</v>
      </c>
      <c r="O300" t="str">
        <f t="shared" si="23"/>
        <v>Follow up</v>
      </c>
      <c r="P300" t="str">
        <f t="shared" si="24"/>
        <v>Loan Customer</v>
      </c>
    </row>
    <row r="301" spans="1:16" x14ac:dyDescent="0.35">
      <c r="A301" s="1">
        <v>3969</v>
      </c>
      <c r="B301" s="1" t="s">
        <v>96</v>
      </c>
      <c r="C301" s="1" t="s">
        <v>15</v>
      </c>
      <c r="D301" s="1" t="s">
        <v>89</v>
      </c>
      <c r="E301" s="1" t="s">
        <v>19</v>
      </c>
      <c r="F301" s="1">
        <v>96476</v>
      </c>
      <c r="G301" s="1">
        <v>156861</v>
      </c>
      <c r="H301" s="1" t="s">
        <v>69</v>
      </c>
      <c r="I301" s="1" t="s">
        <v>66</v>
      </c>
      <c r="J301" s="1" t="s">
        <v>375</v>
      </c>
      <c r="L301" s="14" t="str">
        <f t="shared" si="20"/>
        <v>Normal</v>
      </c>
      <c r="M301" t="str">
        <f t="shared" si="21"/>
        <v>Salary Eligible</v>
      </c>
      <c r="N301" t="str">
        <f t="shared" si="22"/>
        <v>Not Eligible</v>
      </c>
      <c r="O301" t="str">
        <f t="shared" si="23"/>
        <v>Follow up</v>
      </c>
      <c r="P301" t="str">
        <f t="shared" si="24"/>
        <v>Loan Customer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B35" sqref="B35"/>
    </sheetView>
  </sheetViews>
  <sheetFormatPr defaultRowHeight="14.5" x14ac:dyDescent="0.35"/>
  <cols>
    <col min="1" max="1" width="8.7265625" style="5"/>
    <col min="2" max="2" width="56.81640625" bestFit="1" customWidth="1"/>
    <col min="3" max="3" width="17.81640625" customWidth="1"/>
    <col min="4" max="4" width="12.90625" customWidth="1"/>
  </cols>
  <sheetData>
    <row r="1" spans="1:10" x14ac:dyDescent="0.35">
      <c r="A1" s="5">
        <v>1</v>
      </c>
      <c r="B1" s="2" t="s">
        <v>21</v>
      </c>
      <c r="D1">
        <v>107</v>
      </c>
    </row>
    <row r="2" spans="1:10" x14ac:dyDescent="0.35">
      <c r="A2" s="5">
        <v>2</v>
      </c>
      <c r="B2" s="2" t="s">
        <v>22</v>
      </c>
      <c r="D2">
        <v>103</v>
      </c>
    </row>
    <row r="3" spans="1:10" x14ac:dyDescent="0.35">
      <c r="A3" s="5">
        <v>3</v>
      </c>
      <c r="B3" s="2" t="s">
        <v>23</v>
      </c>
      <c r="D3">
        <v>33</v>
      </c>
    </row>
    <row r="4" spans="1:10" x14ac:dyDescent="0.35">
      <c r="A4" s="5">
        <v>4</v>
      </c>
      <c r="B4" s="2" t="s">
        <v>24</v>
      </c>
      <c r="D4">
        <v>153</v>
      </c>
    </row>
    <row r="5" spans="1:10" x14ac:dyDescent="0.35">
      <c r="A5" s="5">
        <v>5</v>
      </c>
      <c r="B5" s="2" t="s">
        <v>53</v>
      </c>
      <c r="D5">
        <v>283</v>
      </c>
    </row>
    <row r="6" spans="1:10" x14ac:dyDescent="0.35">
      <c r="A6" s="5">
        <v>6</v>
      </c>
      <c r="B6" s="2" t="s">
        <v>54</v>
      </c>
      <c r="D6">
        <v>49</v>
      </c>
    </row>
    <row r="7" spans="1:10" x14ac:dyDescent="0.35">
      <c r="A7" s="5">
        <v>7</v>
      </c>
      <c r="B7" s="2" t="s">
        <v>55</v>
      </c>
      <c r="D7">
        <v>25</v>
      </c>
    </row>
    <row r="8" spans="1:10" x14ac:dyDescent="0.35">
      <c r="A8" s="5">
        <v>8</v>
      </c>
      <c r="B8" s="2" t="s">
        <v>25</v>
      </c>
      <c r="D8">
        <v>0</v>
      </c>
    </row>
    <row r="9" spans="1:10" x14ac:dyDescent="0.35">
      <c r="A9" s="5">
        <v>9</v>
      </c>
      <c r="B9" s="2" t="s">
        <v>26</v>
      </c>
      <c r="D9">
        <v>59</v>
      </c>
    </row>
    <row r="10" spans="1:10" x14ac:dyDescent="0.35">
      <c r="A10" s="5">
        <v>10</v>
      </c>
      <c r="B10" s="2" t="s">
        <v>27</v>
      </c>
      <c r="D10" s="8">
        <v>47424299</v>
      </c>
    </row>
    <row r="11" spans="1:10" x14ac:dyDescent="0.35">
      <c r="A11" s="5">
        <v>11</v>
      </c>
      <c r="B11" s="2" t="s">
        <v>28</v>
      </c>
      <c r="D11" s="8">
        <v>16860561</v>
      </c>
    </row>
    <row r="12" spans="1:10" x14ac:dyDescent="0.35">
      <c r="A12" s="5">
        <v>12</v>
      </c>
      <c r="B12" s="2" t="s">
        <v>29</v>
      </c>
      <c r="D12" s="8">
        <v>11398146</v>
      </c>
    </row>
    <row r="13" spans="1:10" x14ac:dyDescent="0.35">
      <c r="A13" s="5">
        <v>13</v>
      </c>
      <c r="B13" s="2" t="s">
        <v>30</v>
      </c>
      <c r="D13" s="8">
        <v>26192125</v>
      </c>
      <c r="H13">
        <v>8052</v>
      </c>
      <c r="I13" t="str">
        <f t="array" ref="I13:J13">VLOOKUP(H13,Master_Data!A1:J301,{4,5},FALSE)</f>
        <v>Pune</v>
      </c>
      <c r="J13" t="str">
        <v>Pune</v>
      </c>
    </row>
    <row r="14" spans="1:10" x14ac:dyDescent="0.35">
      <c r="A14" s="5">
        <v>14</v>
      </c>
      <c r="B14" s="2" t="s">
        <v>31</v>
      </c>
      <c r="D14">
        <v>3834607</v>
      </c>
    </row>
    <row r="15" spans="1:10" x14ac:dyDescent="0.35">
      <c r="A15" s="5">
        <v>15</v>
      </c>
      <c r="B15" s="2" t="s">
        <v>32</v>
      </c>
      <c r="D15">
        <v>11550428</v>
      </c>
    </row>
    <row r="16" spans="1:10" x14ac:dyDescent="0.35">
      <c r="A16" s="5">
        <v>16</v>
      </c>
      <c r="B16" s="2" t="s">
        <v>33</v>
      </c>
      <c r="D16">
        <v>15314491</v>
      </c>
    </row>
    <row r="17" spans="1:6" x14ac:dyDescent="0.35">
      <c r="A17" s="5">
        <v>17</v>
      </c>
      <c r="B17" s="2" t="s">
        <v>34</v>
      </c>
      <c r="D17">
        <v>0</v>
      </c>
    </row>
    <row r="18" spans="1:6" x14ac:dyDescent="0.35">
      <c r="A18" s="5">
        <v>18</v>
      </c>
      <c r="B18" s="2" t="s">
        <v>35</v>
      </c>
      <c r="D18">
        <v>13241</v>
      </c>
    </row>
    <row r="19" spans="1:6" x14ac:dyDescent="0.35">
      <c r="A19" s="5">
        <v>19</v>
      </c>
      <c r="B19" s="2" t="s">
        <v>36</v>
      </c>
      <c r="D19">
        <v>5284776</v>
      </c>
    </row>
    <row r="20" spans="1:6" x14ac:dyDescent="0.35">
      <c r="A20" s="5">
        <v>20</v>
      </c>
      <c r="B20" t="s">
        <v>39</v>
      </c>
    </row>
    <row r="21" spans="1:6" x14ac:dyDescent="0.35">
      <c r="A21" s="5">
        <v>21</v>
      </c>
      <c r="B21" t="s">
        <v>40</v>
      </c>
    </row>
    <row r="22" spans="1:6" x14ac:dyDescent="0.35">
      <c r="A22" s="5">
        <v>22</v>
      </c>
      <c r="B22" t="s">
        <v>41</v>
      </c>
    </row>
    <row r="23" spans="1:6" x14ac:dyDescent="0.35">
      <c r="B23" s="4" t="s">
        <v>37</v>
      </c>
    </row>
    <row r="24" spans="1:6" x14ac:dyDescent="0.35">
      <c r="B24" s="4" t="s">
        <v>38</v>
      </c>
    </row>
    <row r="25" spans="1:6" x14ac:dyDescent="0.35">
      <c r="A25" s="5">
        <v>23</v>
      </c>
      <c r="B25" s="3" t="s">
        <v>42</v>
      </c>
    </row>
    <row r="26" spans="1:6" x14ac:dyDescent="0.35">
      <c r="A26" s="5">
        <v>24</v>
      </c>
      <c r="B26" s="3" t="s">
        <v>43</v>
      </c>
    </row>
    <row r="27" spans="1:6" x14ac:dyDescent="0.35">
      <c r="A27" s="5">
        <v>25</v>
      </c>
      <c r="B27" s="2" t="s">
        <v>44</v>
      </c>
      <c r="C27" s="9" t="s">
        <v>377</v>
      </c>
      <c r="D27" s="10">
        <v>5056</v>
      </c>
      <c r="E27" s="9" t="s">
        <v>378</v>
      </c>
      <c r="F27" s="11" t="s">
        <v>68</v>
      </c>
    </row>
    <row r="28" spans="1:6" x14ac:dyDescent="0.35">
      <c r="A28" s="5">
        <v>27</v>
      </c>
      <c r="B28" s="2" t="s">
        <v>45</v>
      </c>
      <c r="C28" s="9" t="s">
        <v>379</v>
      </c>
      <c r="D28" s="12" t="s">
        <v>17</v>
      </c>
    </row>
    <row r="29" spans="1:6" x14ac:dyDescent="0.35">
      <c r="A29" s="5">
        <v>28</v>
      </c>
      <c r="B29" s="2" t="s">
        <v>46</v>
      </c>
      <c r="C29" s="9" t="s">
        <v>59</v>
      </c>
      <c r="D29">
        <v>803737</v>
      </c>
    </row>
    <row r="30" spans="1:6" x14ac:dyDescent="0.35">
      <c r="A30" s="6">
        <v>29.3</v>
      </c>
      <c r="B30" s="2" t="s">
        <v>47</v>
      </c>
      <c r="C30" s="9" t="s">
        <v>0</v>
      </c>
      <c r="D30" t="s">
        <v>20</v>
      </c>
      <c r="E30" s="9" t="s">
        <v>380</v>
      </c>
      <c r="F30" t="s">
        <v>19</v>
      </c>
    </row>
    <row r="31" spans="1:6" x14ac:dyDescent="0.35">
      <c r="A31" s="6">
        <v>30</v>
      </c>
      <c r="B31" s="2" t="s">
        <v>48</v>
      </c>
      <c r="C31" s="9" t="s">
        <v>381</v>
      </c>
      <c r="D31" t="s">
        <v>69</v>
      </c>
    </row>
    <row r="32" spans="1:6" x14ac:dyDescent="0.35">
      <c r="A32" s="6">
        <v>31</v>
      </c>
      <c r="B32" t="s">
        <v>49</v>
      </c>
      <c r="C32" s="9" t="s">
        <v>382</v>
      </c>
      <c r="D32">
        <v>44089</v>
      </c>
    </row>
    <row r="33" spans="1:9" x14ac:dyDescent="0.35">
      <c r="A33" s="6">
        <v>32</v>
      </c>
      <c r="B33" t="s">
        <v>50</v>
      </c>
    </row>
    <row r="34" spans="1:9" x14ac:dyDescent="0.35">
      <c r="A34" s="6">
        <v>33</v>
      </c>
      <c r="B34" t="s">
        <v>51</v>
      </c>
    </row>
    <row r="35" spans="1:9" x14ac:dyDescent="0.35">
      <c r="A35" s="6">
        <v>34</v>
      </c>
      <c r="B35" t="s">
        <v>52</v>
      </c>
    </row>
    <row r="37" spans="1:9" x14ac:dyDescent="0.35">
      <c r="B37">
        <v>32</v>
      </c>
      <c r="C37">
        <f t="array" ref="C37">INDEX(Master_Data!G:G, MATCH(Questions!F27 &amp; Questions!F30, Master_Data!B:B &amp; Master_Data!E:E, 0))</f>
        <v>162860</v>
      </c>
      <c r="E37">
        <v>33</v>
      </c>
      <c r="F37" t="str">
        <f>INDEX(Master_Data!$D:$D,MATCH(MAX(Master_Data!$F:$F),Master_Data!F:F,0))</f>
        <v>Mumbai</v>
      </c>
      <c r="H37">
        <v>34</v>
      </c>
      <c r="I37" t="str">
        <f>INDEX(Master_Data!$C:$C,MATCH(MIN(Master_Data!$G:$G),Master_Data!$G:$G,0))</f>
        <v>Current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KETHEPALLI ESWAR</dc:creator>
  <cp:lastModifiedBy>sivag</cp:lastModifiedBy>
  <dcterms:created xsi:type="dcterms:W3CDTF">2025-11-17T07:38:24Z</dcterms:created>
  <dcterms:modified xsi:type="dcterms:W3CDTF">2025-11-19T14:10:56Z</dcterms:modified>
</cp:coreProperties>
</file>