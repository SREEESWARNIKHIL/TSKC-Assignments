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vag\OneDrive\Desktop\"/>
    </mc:Choice>
  </mc:AlternateContent>
  <bookViews>
    <workbookView xWindow="0" yWindow="0" windowWidth="21600" windowHeight="10530"/>
  </bookViews>
  <sheets>
    <sheet name="Q1" sheetId="1" r:id="rId1"/>
    <sheet name="Q7" sheetId="2" r:id="rId2"/>
    <sheet name="Q2" sheetId="3" r:id="rId3"/>
    <sheet name="Q3" sheetId="4" r:id="rId4"/>
    <sheet name="Q4" sheetId="5" r:id="rId5"/>
    <sheet name="Q5" sheetId="6" r:id="rId6"/>
    <sheet name="Q6" sheetId="7" r:id="rId7"/>
  </sheets>
  <calcPr calcId="162913"/>
  <pivotCaches>
    <pivotCache cacheId="7" r:id="rId8"/>
  </pivotCaches>
</workbook>
</file>

<file path=xl/calcChain.xml><?xml version="1.0" encoding="utf-8"?>
<calcChain xmlns="http://schemas.openxmlformats.org/spreadsheetml/2006/main">
  <c r="D9" i="2" l="1"/>
  <c r="D10" i="2"/>
  <c r="D11" i="2"/>
  <c r="D12" i="2"/>
  <c r="D8" i="2"/>
  <c r="D5" i="2"/>
  <c r="D3" i="2"/>
  <c r="D2" i="2"/>
  <c r="E16" i="3" l="1"/>
  <c r="E15" i="3"/>
  <c r="E14" i="3"/>
  <c r="E13" i="3"/>
  <c r="E12" i="3"/>
  <c r="E11" i="3"/>
  <c r="E10" i="3"/>
  <c r="E9" i="3"/>
  <c r="E8" i="3"/>
  <c r="E7" i="3"/>
  <c r="D16" i="3"/>
  <c r="D15" i="3"/>
  <c r="D14" i="3"/>
  <c r="D13" i="3"/>
  <c r="D12" i="3"/>
  <c r="D11" i="3"/>
  <c r="D10" i="3"/>
  <c r="D9" i="3"/>
  <c r="D8" i="3"/>
  <c r="D7" i="3"/>
  <c r="E6" i="5"/>
  <c r="E5" i="5"/>
  <c r="E4" i="5"/>
  <c r="E9" i="4"/>
  <c r="E10" i="4"/>
  <c r="E11" i="4"/>
  <c r="E12" i="4"/>
  <c r="E13" i="4"/>
  <c r="E14" i="4"/>
  <c r="E15" i="4"/>
  <c r="E16" i="4"/>
  <c r="E8" i="4"/>
  <c r="O8" i="1"/>
  <c r="O9" i="1"/>
  <c r="O10" i="1"/>
  <c r="O11" i="1"/>
  <c r="O12" i="1"/>
  <c r="O13" i="1"/>
  <c r="O14" i="1"/>
  <c r="O15" i="1"/>
  <c r="O16" i="1"/>
  <c r="O17" i="1"/>
  <c r="O18" i="1"/>
  <c r="O7" i="1"/>
  <c r="N10" i="1"/>
  <c r="N9" i="1"/>
  <c r="N7" i="1"/>
  <c r="N8" i="1"/>
  <c r="N18" i="1"/>
  <c r="N17" i="1"/>
  <c r="N16" i="1"/>
  <c r="N15" i="1"/>
  <c r="N14" i="1"/>
  <c r="N13" i="1"/>
  <c r="N12" i="1"/>
  <c r="N11" i="1"/>
  <c r="J8" i="1"/>
  <c r="J9" i="1"/>
  <c r="J10" i="1"/>
  <c r="J11" i="1"/>
  <c r="J12" i="1"/>
  <c r="J13" i="1"/>
  <c r="J14" i="1"/>
  <c r="J15" i="1"/>
  <c r="J16" i="1"/>
  <c r="J17" i="1"/>
  <c r="J18" i="1"/>
  <c r="J7" i="1"/>
  <c r="M8" i="1"/>
  <c r="M9" i="1"/>
  <c r="M10" i="1"/>
  <c r="M11" i="1"/>
  <c r="M12" i="1"/>
  <c r="M13" i="1"/>
  <c r="M14" i="1"/>
  <c r="M15" i="1"/>
  <c r="M16" i="1"/>
  <c r="M17" i="1"/>
  <c r="M18" i="1"/>
  <c r="M7" i="1"/>
  <c r="L8" i="1"/>
  <c r="L9" i="1"/>
  <c r="L10" i="1"/>
  <c r="L11" i="1"/>
  <c r="L12" i="1"/>
  <c r="L13" i="1"/>
  <c r="L14" i="1"/>
  <c r="L15" i="1"/>
  <c r="L16" i="1"/>
  <c r="L17" i="1"/>
  <c r="L18" i="1"/>
  <c r="L7" i="1"/>
  <c r="K8" i="1"/>
  <c r="K9" i="1"/>
  <c r="K10" i="1"/>
  <c r="K11" i="1"/>
  <c r="K12" i="1"/>
  <c r="K13" i="1"/>
  <c r="K14" i="1"/>
  <c r="K15" i="1"/>
  <c r="K16" i="1"/>
  <c r="K17" i="1"/>
  <c r="K18" i="1"/>
  <c r="K7" i="1"/>
  <c r="I8" i="1"/>
  <c r="I9" i="1"/>
  <c r="I10" i="1"/>
  <c r="I11" i="1"/>
  <c r="I12" i="1"/>
  <c r="I13" i="1"/>
  <c r="I14" i="1"/>
  <c r="I15" i="1"/>
  <c r="I16" i="1"/>
  <c r="I17" i="1"/>
  <c r="I18" i="1"/>
  <c r="I7" i="1"/>
</calcChain>
</file>

<file path=xl/sharedStrings.xml><?xml version="1.0" encoding="utf-8"?>
<sst xmlns="http://schemas.openxmlformats.org/spreadsheetml/2006/main" count="268" uniqueCount="149">
  <si>
    <t>Using excel functions populate the Total, Percentage, Highest, Lowest, Average and Result (pass/fail) based on condition shown below: (6 marks)</t>
  </si>
  <si>
    <t>Sl.No</t>
  </si>
  <si>
    <t>Student Name</t>
  </si>
  <si>
    <t>Sub - 1</t>
  </si>
  <si>
    <t>Sub - 2</t>
  </si>
  <si>
    <t>Sub - 3</t>
  </si>
  <si>
    <t>Sub - 4</t>
  </si>
  <si>
    <t>Sub - 5</t>
  </si>
  <si>
    <t>Sub - 6</t>
  </si>
  <si>
    <t>Total</t>
  </si>
  <si>
    <t>%tage</t>
  </si>
  <si>
    <t>Highest</t>
  </si>
  <si>
    <t>Lowest</t>
  </si>
  <si>
    <t>Average</t>
  </si>
  <si>
    <t>Student Name (i.e Sangeetha)</t>
  </si>
  <si>
    <t>Length of the student name</t>
  </si>
  <si>
    <t>A GOTHAVARI AMMAL</t>
  </si>
  <si>
    <t>A K GUPTA</t>
  </si>
  <si>
    <t>A K MITTAL HUF</t>
  </si>
  <si>
    <t>A RAJESH KUMAR</t>
  </si>
  <si>
    <t>A RAMAA</t>
  </si>
  <si>
    <t>A S GANESAN</t>
  </si>
  <si>
    <t>A SUBRAMONEY</t>
  </si>
  <si>
    <t>A VAMANAN</t>
  </si>
  <si>
    <t xml:space="preserve">AAKASH </t>
  </si>
  <si>
    <t>AAKEEN ASHIR DOSHI</t>
  </si>
  <si>
    <t>AALIYA SALMAN NENSEY</t>
  </si>
  <si>
    <t>AARATI BHUSHAN LIMAYE</t>
  </si>
  <si>
    <t>DataScience</t>
  </si>
  <si>
    <t>Convert into BioScience</t>
  </si>
  <si>
    <t>I like apple juice more than apple milkshake</t>
  </si>
  <si>
    <t>Convert apple into Orange</t>
  </si>
  <si>
    <t>TSKC-Batch-2023</t>
  </si>
  <si>
    <t>A5 referals 2023 batch in the TSKC change into Current year batch</t>
  </si>
  <si>
    <t>Hallticket ( year- Collegecode - groupcode - std_roll_number)</t>
  </si>
  <si>
    <t>2025-108-20-01</t>
  </si>
  <si>
    <t>Change the hallticket Number for MPC student by using group code 28</t>
  </si>
  <si>
    <t>2025-108-20-02</t>
  </si>
  <si>
    <t>2025-108-20-06</t>
  </si>
  <si>
    <t>2025-108-20-07</t>
  </si>
  <si>
    <t>2025-108-20-10</t>
  </si>
  <si>
    <t>Q4. Split the Name given in the column as shown in example below using excel functions only</t>
  </si>
  <si>
    <t>Example</t>
  </si>
  <si>
    <t>First Name</t>
  </si>
  <si>
    <t>Last Name</t>
  </si>
  <si>
    <t>ALEX ROBERTS</t>
  </si>
  <si>
    <t>ALEX</t>
  </si>
  <si>
    <t>ROBERTS</t>
  </si>
  <si>
    <t>Split</t>
  </si>
  <si>
    <t>S.No</t>
  </si>
  <si>
    <t>Name</t>
  </si>
  <si>
    <t>RASIKLAL JETHALAL</t>
  </si>
  <si>
    <t>SAROJ RASIKLAL</t>
  </si>
  <si>
    <t>MAULIK VINODCHANDRA</t>
  </si>
  <si>
    <t>JIGAR BHUPESH</t>
  </si>
  <si>
    <t>HIMANSHU JOSHI</t>
  </si>
  <si>
    <t>GEETA VASHISHTHA</t>
  </si>
  <si>
    <t>HITENDRA RAJNIKANT</t>
  </si>
  <si>
    <t>ARUNA GARG</t>
  </si>
  <si>
    <t>DHAVAL NATVARLAL</t>
  </si>
  <si>
    <t>NATVARLAL HIRALAL</t>
  </si>
  <si>
    <t xml:space="preserve">Q5. Concatenate Category, Area, Sub Area with and separate with '/' (slash) </t>
  </si>
  <si>
    <t>Category</t>
  </si>
  <si>
    <t>Area</t>
  </si>
  <si>
    <t>Sub Area</t>
  </si>
  <si>
    <t>CONCATENATE WITH SLASH ( / )</t>
  </si>
  <si>
    <t>Hardware</t>
  </si>
  <si>
    <t>Damaged-Malfunctioned</t>
  </si>
  <si>
    <t>Printer</t>
  </si>
  <si>
    <t>Hardware/Damaged-Malfunctioned/Printer</t>
  </si>
  <si>
    <t>Complete System</t>
  </si>
  <si>
    <t>Return to Inventory</t>
  </si>
  <si>
    <t>Usage</t>
  </si>
  <si>
    <t>iPad</t>
  </si>
  <si>
    <t>Off the Shelf</t>
  </si>
  <si>
    <t>Windows 7</t>
  </si>
  <si>
    <t>Logon</t>
  </si>
  <si>
    <t xml:space="preserve"> No Area Given </t>
  </si>
  <si>
    <t xml:space="preserve"> No Sub Area Given </t>
  </si>
  <si>
    <t xml:space="preserve"> No SubSubArea Given </t>
  </si>
  <si>
    <t>iPad - Hardware</t>
  </si>
  <si>
    <t>Lost/Stolen</t>
  </si>
  <si>
    <t>Miscellaneous Items</t>
  </si>
  <si>
    <t>Veeva</t>
  </si>
  <si>
    <t>Calls</t>
  </si>
  <si>
    <t>Missing</t>
  </si>
  <si>
    <t>Request</t>
  </si>
  <si>
    <t>Expenses</t>
  </si>
  <si>
    <t>Q6. Using excel functions calcuate Number Count (Cells which contains only numeric value), Blank Count (Count of Blank Cells only), Non-Blank Count (No. of cells without blanks)</t>
  </si>
  <si>
    <t>Raw Data</t>
  </si>
  <si>
    <t>TERRITORY</t>
  </si>
  <si>
    <t>NUMBER COUNT</t>
  </si>
  <si>
    <t>V202004</t>
  </si>
  <si>
    <t>BLANK COUNT</t>
  </si>
  <si>
    <t>NON-BLANK COUNT</t>
  </si>
  <si>
    <t>V203004</t>
  </si>
  <si>
    <t>V203009</t>
  </si>
  <si>
    <t>10307 Wilmington, NC</t>
  </si>
  <si>
    <t>40306 South Texas</t>
  </si>
  <si>
    <t>40300 West</t>
  </si>
  <si>
    <t>10401 Allentown, PA</t>
  </si>
  <si>
    <t>20604 Naples, FL</t>
  </si>
  <si>
    <t>40206 Lower South Central</t>
  </si>
  <si>
    <t>30206 Lubbock, TX</t>
  </si>
  <si>
    <t>30507 San Antonio W, TX</t>
  </si>
  <si>
    <t>10501 Brooklyn, NY</t>
  </si>
  <si>
    <t>30304 San Francisco, CA</t>
  </si>
  <si>
    <t>10409 Trenton, NJ</t>
  </si>
  <si>
    <t>40202 Southeast Florida</t>
  </si>
  <si>
    <t>10209 N Washington, DC - Acade</t>
  </si>
  <si>
    <t>20409 Paducah, KY</t>
  </si>
  <si>
    <t>40106 Northeast</t>
  </si>
  <si>
    <t>Q8. Using Data Validation create a Drop-Down List in Cell D3</t>
  </si>
  <si>
    <t>List</t>
  </si>
  <si>
    <t>Accounts</t>
  </si>
  <si>
    <t>Analytics</t>
  </si>
  <si>
    <t>Budgets</t>
  </si>
  <si>
    <t>Coaching Reports</t>
  </si>
  <si>
    <t>Combined Inquiries</t>
  </si>
  <si>
    <t>Configuration</t>
  </si>
  <si>
    <t>Errors</t>
  </si>
  <si>
    <t>Events</t>
  </si>
  <si>
    <t>FBRs</t>
  </si>
  <si>
    <t>iCertify</t>
  </si>
  <si>
    <t>ICP</t>
  </si>
  <si>
    <t>Reports</t>
  </si>
  <si>
    <t>Samples</t>
  </si>
  <si>
    <t>Search Doctor</t>
  </si>
  <si>
    <t>Targeting</t>
  </si>
  <si>
    <t>Views</t>
  </si>
  <si>
    <t>Q9. Create a Pivot table for Open &amp; Closed Area Count by Level Wise</t>
  </si>
  <si>
    <t>Status</t>
  </si>
  <si>
    <t>ResolvedBy</t>
  </si>
  <si>
    <t>Resolution Level</t>
  </si>
  <si>
    <t>Open</t>
  </si>
  <si>
    <t>C3i Helpdesk</t>
  </si>
  <si>
    <t>Level 3</t>
  </si>
  <si>
    <t>Level 2</t>
  </si>
  <si>
    <t>Level 1</t>
  </si>
  <si>
    <t>Closed</t>
  </si>
  <si>
    <t>Damaged/Malfunctioned</t>
  </si>
  <si>
    <t>iRep</t>
  </si>
  <si>
    <t>Installation</t>
  </si>
  <si>
    <t>Send-Receive</t>
  </si>
  <si>
    <t>iPad - Software</t>
  </si>
  <si>
    <t>Application</t>
  </si>
  <si>
    <t>Grand Total</t>
  </si>
  <si>
    <t>Count of Resolution Level</t>
  </si>
  <si>
    <t xml:space="preserve">Status-Area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</si>
</sst>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5" formatCode="_ * #,##0_ ;_ * \-#,##0_ ;_ * &quot;-&quot;??_ ;_ @_ "/>
    <numFmt numFmtId="167" formatCode="0.0%"/>
  </numFmts>
  <fonts count="9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sz val="10"/>
      <color rgb="FFFF0000"/>
      <name val="Calibri"/>
    </font>
    <font>
      <b/>
      <sz val="10"/>
      <color rgb="FFFFFF00"/>
      <name val="Cambria"/>
    </font>
    <font>
      <sz val="10"/>
      <color theme="1"/>
      <name val="Arial"/>
      <scheme val="minor"/>
    </font>
    <font>
      <sz val="11"/>
      <color rgb="FFFF0000"/>
      <name val="Calibri"/>
    </font>
    <font>
      <b/>
      <sz val="10"/>
      <color theme="1"/>
      <name val="Calibri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rgb="FFB6D7A8"/>
        <bgColor rgb="FFB6D7A8"/>
      </patternFill>
    </fill>
    <fill>
      <patternFill patternType="solid">
        <fgColor rgb="FFE7E6E6"/>
        <bgColor rgb="FFE7E6E6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/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3">
    <xf numFmtId="0" fontId="0" fillId="0" borderId="0" xfId="0" applyFont="1" applyAlignment="1"/>
    <xf numFmtId="0" fontId="3" fillId="0" borderId="4" xfId="0" applyFont="1" applyBorder="1" applyAlignment="1"/>
    <xf numFmtId="0" fontId="1" fillId="0" borderId="0" xfId="0" applyFont="1" applyAlignment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9" xfId="0" applyFont="1" applyFill="1" applyBorder="1"/>
    <xf numFmtId="3" fontId="1" fillId="4" borderId="9" xfId="0" applyNumberFormat="1" applyFont="1" applyFill="1" applyBorder="1"/>
    <xf numFmtId="0" fontId="1" fillId="4" borderId="10" xfId="0" applyFont="1" applyFill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0" borderId="0" xfId="0" applyFont="1" applyAlignment="1"/>
    <xf numFmtId="0" fontId="5" fillId="5" borderId="0" xfId="0" applyFont="1" applyFill="1"/>
    <xf numFmtId="0" fontId="4" fillId="3" borderId="4" xfId="0" applyFont="1" applyFill="1" applyBorder="1"/>
    <xf numFmtId="0" fontId="7" fillId="0" borderId="4" xfId="0" applyFont="1" applyBorder="1" applyAlignment="1"/>
    <xf numFmtId="0" fontId="7" fillId="7" borderId="4" xfId="0" applyFont="1" applyFill="1" applyBorder="1" applyAlignment="1"/>
    <xf numFmtId="0" fontId="4" fillId="3" borderId="6" xfId="0" applyFont="1" applyFill="1" applyBorder="1"/>
    <xf numFmtId="0" fontId="1" fillId="0" borderId="0" xfId="0" applyFont="1" applyAlignment="1">
      <alignment horizontal="center"/>
    </xf>
    <xf numFmtId="0" fontId="1" fillId="0" borderId="8" xfId="0" applyFont="1" applyBorder="1"/>
    <xf numFmtId="0" fontId="1" fillId="7" borderId="17" xfId="0" applyFont="1" applyFill="1" applyBorder="1" applyAlignment="1"/>
    <xf numFmtId="0" fontId="1" fillId="0" borderId="12" xfId="0" applyFont="1" applyBorder="1"/>
    <xf numFmtId="0" fontId="1" fillId="0" borderId="18" xfId="0" applyFont="1" applyBorder="1" applyAlignment="1">
      <alignment horizontal="center"/>
    </xf>
    <xf numFmtId="0" fontId="1" fillId="0" borderId="14" xfId="0" applyFont="1" applyBorder="1"/>
    <xf numFmtId="0" fontId="1" fillId="7" borderId="19" xfId="0" applyFont="1" applyFill="1" applyBorder="1" applyAlignment="1"/>
    <xf numFmtId="0" fontId="4" fillId="3" borderId="4" xfId="0" applyFont="1" applyFill="1" applyBorder="1" applyAlignment="1">
      <alignment horizontal="center"/>
    </xf>
    <xf numFmtId="0" fontId="1" fillId="0" borderId="4" xfId="0" applyFont="1" applyBorder="1"/>
    <xf numFmtId="0" fontId="1" fillId="4" borderId="4" xfId="0" applyFont="1" applyFill="1" applyBorder="1" applyAlignment="1">
      <alignment horizontal="center"/>
    </xf>
    <xf numFmtId="0" fontId="4" fillId="3" borderId="23" xfId="0" applyFont="1" applyFill="1" applyBorder="1"/>
    <xf numFmtId="0" fontId="4" fillId="3" borderId="24" xfId="0" applyFont="1" applyFill="1" applyBorder="1"/>
    <xf numFmtId="0" fontId="4" fillId="3" borderId="24" xfId="0" applyFont="1" applyFill="1" applyBorder="1" applyAlignment="1">
      <alignment horizontal="center"/>
    </xf>
    <xf numFmtId="0" fontId="1" fillId="0" borderId="11" xfId="0" applyFont="1" applyBorder="1"/>
    <xf numFmtId="0" fontId="1" fillId="4" borderId="12" xfId="0" applyFont="1" applyFill="1" applyBorder="1"/>
    <xf numFmtId="0" fontId="1" fillId="0" borderId="13" xfId="0" applyFont="1" applyBorder="1"/>
    <xf numFmtId="0" fontId="4" fillId="3" borderId="25" xfId="0" applyFont="1" applyFill="1" applyBorder="1" applyAlignment="1">
      <alignment horizontal="center"/>
    </xf>
    <xf numFmtId="0" fontId="1" fillId="7" borderId="4" xfId="0" applyFont="1" applyFill="1" applyBorder="1" applyAlignment="1"/>
    <xf numFmtId="0" fontId="1" fillId="0" borderId="4" xfId="0" applyFont="1" applyBorder="1" applyAlignment="1">
      <alignment horizontal="center"/>
    </xf>
    <xf numFmtId="0" fontId="4" fillId="3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4" fillId="3" borderId="29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6" borderId="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" fillId="0" borderId="16" xfId="0" applyFont="1" applyBorder="1"/>
    <xf numFmtId="0" fontId="7" fillId="8" borderId="20" xfId="0" applyFont="1" applyFill="1" applyBorder="1" applyAlignment="1"/>
    <xf numFmtId="0" fontId="2" fillId="0" borderId="21" xfId="0" applyFont="1" applyBorder="1"/>
    <xf numFmtId="0" fontId="2" fillId="0" borderId="22" xfId="0" applyFont="1" applyBorder="1"/>
    <xf numFmtId="0" fontId="6" fillId="6" borderId="1" xfId="0" applyFont="1" applyFill="1" applyBorder="1" applyAlignment="1">
      <alignment horizontal="center" wrapText="1"/>
    </xf>
    <xf numFmtId="165" fontId="4" fillId="3" borderId="6" xfId="1" applyNumberFormat="1" applyFont="1" applyFill="1" applyBorder="1" applyAlignment="1">
      <alignment horizontal="center"/>
    </xf>
    <xf numFmtId="165" fontId="1" fillId="4" borderId="9" xfId="1" applyNumberFormat="1" applyFont="1" applyFill="1" applyBorder="1"/>
    <xf numFmtId="167" fontId="1" fillId="4" borderId="9" xfId="0" applyNumberFormat="1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vag" refreshedDate="45971.951028819443" createdVersion="6" refreshedVersion="6" minRefreshableVersion="3" recordCount="19">
  <cacheSource type="worksheet">
    <worksheetSource ref="B3:F22" sheet="Q6"/>
  </cacheSource>
  <cacheFields count="5">
    <cacheField name="Status" numFmtId="0">
      <sharedItems count="2">
        <s v="Open"/>
        <s v="Closed"/>
      </sharedItems>
    </cacheField>
    <cacheField name="Area" numFmtId="0">
      <sharedItems count="7">
        <s v="Hardware"/>
        <s v="Off the Shelf"/>
        <s v=" No Area Given "/>
        <s v="iPad - Hardware"/>
        <s v="Veeva"/>
        <s v="iRep"/>
        <s v="iPad - Software"/>
      </sharedItems>
    </cacheField>
    <cacheField name="Sub Area" numFmtId="0">
      <sharedItems/>
    </cacheField>
    <cacheField name="ResolvedBy" numFmtId="0">
      <sharedItems/>
    </cacheField>
    <cacheField name="Resolution Level" numFmtId="0">
      <sharedItems count="3">
        <s v="Level 3"/>
        <s v="Level 2"/>
        <s v="Level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s v="Damaged-Malfunctioned"/>
    <s v="C3i Helpdesk"/>
    <x v="0"/>
  </r>
  <r>
    <x v="0"/>
    <x v="0"/>
    <s v="Complete System"/>
    <s v="C3i Helpdesk"/>
    <x v="0"/>
  </r>
  <r>
    <x v="0"/>
    <x v="0"/>
    <s v="Usage"/>
    <s v="C3i Helpdesk"/>
    <x v="1"/>
  </r>
  <r>
    <x v="0"/>
    <x v="1"/>
    <s v="Windows 7"/>
    <s v="C3i Helpdesk"/>
    <x v="1"/>
  </r>
  <r>
    <x v="0"/>
    <x v="2"/>
    <s v=" No Sub Area Given "/>
    <s v="C3i Helpdesk"/>
    <x v="2"/>
  </r>
  <r>
    <x v="0"/>
    <x v="3"/>
    <s v="Lost/Stolen"/>
    <s v="C3i Helpdesk"/>
    <x v="1"/>
  </r>
  <r>
    <x v="0"/>
    <x v="4"/>
    <s v="Calls"/>
    <s v="C3i Helpdesk"/>
    <x v="1"/>
  </r>
  <r>
    <x v="0"/>
    <x v="3"/>
    <s v="Request"/>
    <s v="C3i Helpdesk"/>
    <x v="0"/>
  </r>
  <r>
    <x v="0"/>
    <x v="4"/>
    <s v="Calls"/>
    <s v="C3i Helpdesk"/>
    <x v="1"/>
  </r>
  <r>
    <x v="0"/>
    <x v="4"/>
    <s v="Calls"/>
    <s v="C3i Helpdesk"/>
    <x v="1"/>
  </r>
  <r>
    <x v="0"/>
    <x v="4"/>
    <s v="Accounts"/>
    <s v="C3i Helpdesk"/>
    <x v="1"/>
  </r>
  <r>
    <x v="1"/>
    <x v="3"/>
    <s v="Damaged/Malfunctioned"/>
    <s v="C3i Helpdesk"/>
    <x v="1"/>
  </r>
  <r>
    <x v="1"/>
    <x v="4"/>
    <s v="Accounts"/>
    <s v="C3i Helpdesk"/>
    <x v="1"/>
  </r>
  <r>
    <x v="1"/>
    <x v="4"/>
    <s v="Events"/>
    <s v="C3i Helpdesk"/>
    <x v="1"/>
  </r>
  <r>
    <x v="1"/>
    <x v="5"/>
    <s v="Installation"/>
    <s v="C3i Helpdesk"/>
    <x v="1"/>
  </r>
  <r>
    <x v="1"/>
    <x v="5"/>
    <s v="Send-Receive"/>
    <s v="C3i Helpdesk"/>
    <x v="1"/>
  </r>
  <r>
    <x v="1"/>
    <x v="3"/>
    <s v="Damaged/Malfunctioned"/>
    <s v="C3i Helpdesk"/>
    <x v="0"/>
  </r>
  <r>
    <x v="1"/>
    <x v="6"/>
    <s v="Application"/>
    <s v="C3i Helpdesk"/>
    <x v="1"/>
  </r>
  <r>
    <x v="1"/>
    <x v="3"/>
    <s v="Lost/Stolen"/>
    <s v="C3i Helpdes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us-Area " colHeaderCaption="Resolution Level">
  <location ref="I10:M23" firstHeaderRow="1" firstDataRow="2" firstDataCol="1"/>
  <pivotFields count="5">
    <pivotField axis="axisRow" showAll="0">
      <items count="3">
        <item x="1"/>
        <item x="0"/>
        <item t="default"/>
      </items>
    </pivotField>
    <pivotField axis="axisRow" showAll="0">
      <items count="8">
        <item x="2"/>
        <item x="0"/>
        <item x="3"/>
        <item x="6"/>
        <item x="5"/>
        <item x="1"/>
        <item x="4"/>
        <item t="default"/>
      </items>
    </pivotField>
    <pivotField showAll="0"/>
    <pivotField showAll="0"/>
    <pivotField axis="axisCol" dataField="1" showAll="0">
      <items count="4">
        <item x="2"/>
        <item x="1"/>
        <item x="0"/>
        <item t="default"/>
      </items>
    </pivotField>
  </pivotFields>
  <rowFields count="2">
    <field x="0"/>
    <field x="1"/>
  </rowFields>
  <rowItems count="12">
    <i>
      <x/>
    </i>
    <i r="1">
      <x v="2"/>
    </i>
    <i r="1">
      <x v="3"/>
    </i>
    <i r="1">
      <x v="4"/>
    </i>
    <i r="1">
      <x v="6"/>
    </i>
    <i>
      <x v="1"/>
    </i>
    <i r="1">
      <x/>
    </i>
    <i r="1">
      <x v="1"/>
    </i>
    <i r="1">
      <x v="2"/>
    </i>
    <i r="1">
      <x v="5"/>
    </i>
    <i r="1"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Resolution Leve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8"/>
  <sheetViews>
    <sheetView tabSelected="1" topLeftCell="D1" workbookViewId="0">
      <selection activeCell="F24" sqref="F24"/>
    </sheetView>
  </sheetViews>
  <sheetFormatPr defaultColWidth="12.6328125" defaultRowHeight="15.75" customHeight="1" x14ac:dyDescent="0.25"/>
  <cols>
    <col min="2" max="2" width="22.54296875" customWidth="1"/>
    <col min="14" max="14" width="23.36328125" customWidth="1"/>
    <col min="15" max="15" width="27.453125" customWidth="1"/>
  </cols>
  <sheetData>
    <row r="1" spans="1:15" ht="15.75" customHeight="1" x14ac:dyDescent="0.3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</row>
    <row r="2" spans="1:15" ht="15.75" customHeight="1" x14ac:dyDescent="0.3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.75" customHeight="1" x14ac:dyDescent="0.25">
      <c r="A6" s="3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56" t="s">
        <v>11</v>
      </c>
      <c r="L6" s="4" t="s">
        <v>12</v>
      </c>
      <c r="M6" s="4" t="s">
        <v>13</v>
      </c>
      <c r="N6" s="5" t="s">
        <v>14</v>
      </c>
      <c r="O6" s="5" t="s">
        <v>15</v>
      </c>
    </row>
    <row r="7" spans="1:15" ht="15.75" customHeight="1" x14ac:dyDescent="0.35">
      <c r="A7" s="6">
        <v>1</v>
      </c>
      <c r="B7" s="7" t="s">
        <v>16</v>
      </c>
      <c r="C7" s="7">
        <v>50</v>
      </c>
      <c r="D7" s="7">
        <v>65</v>
      </c>
      <c r="E7" s="7">
        <v>85</v>
      </c>
      <c r="F7" s="7">
        <v>45</v>
      </c>
      <c r="G7" s="7">
        <v>95</v>
      </c>
      <c r="H7" s="7">
        <v>59</v>
      </c>
      <c r="I7" s="8">
        <f>SUM(C7:H7)</f>
        <v>399</v>
      </c>
      <c r="J7" s="58">
        <f>I7/600</f>
        <v>0.66500000000000004</v>
      </c>
      <c r="K7" s="57">
        <f>MAX(C7:H7)</f>
        <v>95</v>
      </c>
      <c r="L7" s="8">
        <f>MIN(C7:H7)</f>
        <v>45</v>
      </c>
      <c r="M7" s="9">
        <f>AVERAGE(C7:H7)</f>
        <v>66.5</v>
      </c>
      <c r="N7" s="10" t="str">
        <f>RIGHT(B7,5)</f>
        <v>AMMAL</v>
      </c>
      <c r="O7" s="10">
        <f>LEN(N7)</f>
        <v>5</v>
      </c>
    </row>
    <row r="8" spans="1:15" ht="15.75" customHeight="1" x14ac:dyDescent="0.35">
      <c r="A8" s="11">
        <v>2</v>
      </c>
      <c r="B8" s="12" t="s">
        <v>17</v>
      </c>
      <c r="C8" s="12">
        <v>77</v>
      </c>
      <c r="D8" s="12">
        <v>42</v>
      </c>
      <c r="E8" s="12">
        <v>51</v>
      </c>
      <c r="F8" s="12">
        <v>82</v>
      </c>
      <c r="G8" s="12">
        <v>99</v>
      </c>
      <c r="H8" s="12">
        <v>50</v>
      </c>
      <c r="I8" s="8">
        <f t="shared" ref="I8:I18" si="0">SUM(C8:H8)</f>
        <v>401</v>
      </c>
      <c r="J8" s="58">
        <f t="shared" ref="J8:J18" si="1">I8/600</f>
        <v>0.66833333333333333</v>
      </c>
      <c r="K8" s="57">
        <f t="shared" ref="K8:K18" si="2">MAX(C8:H8)</f>
        <v>99</v>
      </c>
      <c r="L8" s="8">
        <f t="shared" ref="L8:L18" si="3">MIN(C8:H8)</f>
        <v>42</v>
      </c>
      <c r="M8" s="9">
        <f t="shared" ref="M8:M18" si="4">AVERAGE(C8:H8)</f>
        <v>66.833333333333329</v>
      </c>
      <c r="N8" s="10" t="str">
        <f>RIGHT(B8,5)</f>
        <v>GUPTA</v>
      </c>
      <c r="O8" s="10">
        <f t="shared" ref="O8:O18" si="5">LEN(N8)</f>
        <v>5</v>
      </c>
    </row>
    <row r="9" spans="1:15" ht="15.75" customHeight="1" x14ac:dyDescent="0.35">
      <c r="A9" s="11">
        <v>3</v>
      </c>
      <c r="B9" s="12" t="s">
        <v>18</v>
      </c>
      <c r="C9" s="12">
        <v>74</v>
      </c>
      <c r="D9" s="12">
        <v>29</v>
      </c>
      <c r="E9" s="12">
        <v>96</v>
      </c>
      <c r="F9" s="12">
        <v>27</v>
      </c>
      <c r="G9" s="12">
        <v>100</v>
      </c>
      <c r="H9" s="12">
        <v>53</v>
      </c>
      <c r="I9" s="8">
        <f t="shared" si="0"/>
        <v>379</v>
      </c>
      <c r="J9" s="58">
        <f t="shared" si="1"/>
        <v>0.63166666666666671</v>
      </c>
      <c r="K9" s="57">
        <f t="shared" si="2"/>
        <v>100</v>
      </c>
      <c r="L9" s="8">
        <f t="shared" si="3"/>
        <v>27</v>
      </c>
      <c r="M9" s="9">
        <f t="shared" si="4"/>
        <v>63.166666666666664</v>
      </c>
      <c r="N9" s="10" t="str">
        <f>MID(B9,5,6)</f>
        <v>MITTAL</v>
      </c>
      <c r="O9" s="10">
        <f t="shared" si="5"/>
        <v>6</v>
      </c>
    </row>
    <row r="10" spans="1:15" ht="15.75" customHeight="1" x14ac:dyDescent="0.35">
      <c r="A10" s="11">
        <v>4</v>
      </c>
      <c r="B10" s="12" t="s">
        <v>19</v>
      </c>
      <c r="C10" s="12">
        <v>48</v>
      </c>
      <c r="D10" s="12">
        <v>64</v>
      </c>
      <c r="E10" s="12">
        <v>77</v>
      </c>
      <c r="F10" s="12">
        <v>82</v>
      </c>
      <c r="G10" s="12">
        <v>80</v>
      </c>
      <c r="H10" s="12">
        <v>75</v>
      </c>
      <c r="I10" s="8">
        <f t="shared" si="0"/>
        <v>426</v>
      </c>
      <c r="J10" s="58">
        <f t="shared" si="1"/>
        <v>0.71</v>
      </c>
      <c r="K10" s="57">
        <f t="shared" si="2"/>
        <v>82</v>
      </c>
      <c r="L10" s="8">
        <f t="shared" si="3"/>
        <v>48</v>
      </c>
      <c r="M10" s="9">
        <f t="shared" si="4"/>
        <v>71</v>
      </c>
      <c r="N10" s="10" t="str">
        <f>MID(B10,3,6)</f>
        <v>RAJESH</v>
      </c>
      <c r="O10" s="10">
        <f t="shared" si="5"/>
        <v>6</v>
      </c>
    </row>
    <row r="11" spans="1:15" ht="15.75" customHeight="1" x14ac:dyDescent="0.35">
      <c r="A11" s="11">
        <v>5</v>
      </c>
      <c r="B11" s="12" t="s">
        <v>20</v>
      </c>
      <c r="C11" s="12">
        <v>30</v>
      </c>
      <c r="D11" s="12">
        <v>31</v>
      </c>
      <c r="E11" s="12">
        <v>53</v>
      </c>
      <c r="F11" s="12">
        <v>35</v>
      </c>
      <c r="G11" s="12">
        <v>75</v>
      </c>
      <c r="H11" s="12">
        <v>79</v>
      </c>
      <c r="I11" s="8">
        <f t="shared" si="0"/>
        <v>303</v>
      </c>
      <c r="J11" s="58">
        <f t="shared" si="1"/>
        <v>0.505</v>
      </c>
      <c r="K11" s="57">
        <f t="shared" si="2"/>
        <v>79</v>
      </c>
      <c r="L11" s="8">
        <f t="shared" si="3"/>
        <v>30</v>
      </c>
      <c r="M11" s="9">
        <f t="shared" si="4"/>
        <v>50.5</v>
      </c>
      <c r="N11" s="10" t="str">
        <f>RIGHT(B11,5)</f>
        <v>RAMAA</v>
      </c>
      <c r="O11" s="10">
        <f t="shared" si="5"/>
        <v>5</v>
      </c>
    </row>
    <row r="12" spans="1:15" ht="15.75" customHeight="1" x14ac:dyDescent="0.35">
      <c r="A12" s="11">
        <v>6</v>
      </c>
      <c r="B12" s="12" t="s">
        <v>21</v>
      </c>
      <c r="C12" s="12">
        <v>65</v>
      </c>
      <c r="D12" s="12">
        <v>67</v>
      </c>
      <c r="E12" s="12">
        <v>97</v>
      </c>
      <c r="F12" s="12">
        <v>70</v>
      </c>
      <c r="G12" s="12">
        <v>61</v>
      </c>
      <c r="H12" s="12">
        <v>86</v>
      </c>
      <c r="I12" s="8">
        <f t="shared" si="0"/>
        <v>446</v>
      </c>
      <c r="J12" s="58">
        <f t="shared" si="1"/>
        <v>0.74333333333333329</v>
      </c>
      <c r="K12" s="57">
        <f t="shared" si="2"/>
        <v>97</v>
      </c>
      <c r="L12" s="8">
        <f t="shared" si="3"/>
        <v>61</v>
      </c>
      <c r="M12" s="9">
        <f t="shared" si="4"/>
        <v>74.333333333333329</v>
      </c>
      <c r="N12" s="10" t="str">
        <f>RIGHT(B12,7)</f>
        <v>GANESAN</v>
      </c>
      <c r="O12" s="10">
        <f t="shared" si="5"/>
        <v>7</v>
      </c>
    </row>
    <row r="13" spans="1:15" ht="15.75" customHeight="1" x14ac:dyDescent="0.35">
      <c r="A13" s="11">
        <v>7</v>
      </c>
      <c r="B13" s="12" t="s">
        <v>22</v>
      </c>
      <c r="C13" s="12">
        <v>43</v>
      </c>
      <c r="D13" s="12">
        <v>93</v>
      </c>
      <c r="E13" s="12">
        <v>84</v>
      </c>
      <c r="F13" s="12">
        <v>51</v>
      </c>
      <c r="G13" s="12">
        <v>90</v>
      </c>
      <c r="H13" s="12">
        <v>40</v>
      </c>
      <c r="I13" s="8">
        <f t="shared" si="0"/>
        <v>401</v>
      </c>
      <c r="J13" s="58">
        <f t="shared" si="1"/>
        <v>0.66833333333333333</v>
      </c>
      <c r="K13" s="57">
        <f t="shared" si="2"/>
        <v>93</v>
      </c>
      <c r="L13" s="8">
        <f t="shared" si="3"/>
        <v>40</v>
      </c>
      <c r="M13" s="9">
        <f t="shared" si="4"/>
        <v>66.833333333333329</v>
      </c>
      <c r="N13" s="10" t="str">
        <f>RIGHT(B13,10)</f>
        <v>SUBRAMONEY</v>
      </c>
      <c r="O13" s="10">
        <f t="shared" si="5"/>
        <v>10</v>
      </c>
    </row>
    <row r="14" spans="1:15" ht="15.75" customHeight="1" x14ac:dyDescent="0.35">
      <c r="A14" s="11">
        <v>8</v>
      </c>
      <c r="B14" s="12" t="s">
        <v>23</v>
      </c>
      <c r="C14" s="12">
        <v>83</v>
      </c>
      <c r="D14" s="12">
        <v>75</v>
      </c>
      <c r="E14" s="12">
        <v>82</v>
      </c>
      <c r="F14" s="12">
        <v>27</v>
      </c>
      <c r="G14" s="12">
        <v>30</v>
      </c>
      <c r="H14" s="12">
        <v>37</v>
      </c>
      <c r="I14" s="8">
        <f t="shared" si="0"/>
        <v>334</v>
      </c>
      <c r="J14" s="58">
        <f t="shared" si="1"/>
        <v>0.55666666666666664</v>
      </c>
      <c r="K14" s="57">
        <f t="shared" si="2"/>
        <v>83</v>
      </c>
      <c r="L14" s="8">
        <f t="shared" si="3"/>
        <v>27</v>
      </c>
      <c r="M14" s="9">
        <f t="shared" si="4"/>
        <v>55.666666666666664</v>
      </c>
      <c r="N14" s="10" t="str">
        <f>RIGHT(B14,7)</f>
        <v>VAMANAN</v>
      </c>
      <c r="O14" s="10">
        <f t="shared" si="5"/>
        <v>7</v>
      </c>
    </row>
    <row r="15" spans="1:15" ht="15.75" customHeight="1" x14ac:dyDescent="0.35">
      <c r="A15" s="11">
        <v>9</v>
      </c>
      <c r="B15" s="12" t="s">
        <v>24</v>
      </c>
      <c r="C15" s="12">
        <v>68</v>
      </c>
      <c r="D15" s="12">
        <v>90</v>
      </c>
      <c r="E15" s="12">
        <v>78</v>
      </c>
      <c r="F15" s="12">
        <v>40</v>
      </c>
      <c r="G15" s="12">
        <v>76</v>
      </c>
      <c r="H15" s="12">
        <v>41</v>
      </c>
      <c r="I15" s="8">
        <f t="shared" si="0"/>
        <v>393</v>
      </c>
      <c r="J15" s="58">
        <f t="shared" si="1"/>
        <v>0.65500000000000003</v>
      </c>
      <c r="K15" s="57">
        <f t="shared" si="2"/>
        <v>90</v>
      </c>
      <c r="L15" s="8">
        <f t="shared" si="3"/>
        <v>40</v>
      </c>
      <c r="M15" s="9">
        <f t="shared" si="4"/>
        <v>65.5</v>
      </c>
      <c r="N15" s="10" t="str">
        <f>LEFT(B15,6)</f>
        <v>AAKASH</v>
      </c>
      <c r="O15" s="10">
        <f t="shared" si="5"/>
        <v>6</v>
      </c>
    </row>
    <row r="16" spans="1:15" ht="15.75" customHeight="1" x14ac:dyDescent="0.35">
      <c r="A16" s="11">
        <v>10</v>
      </c>
      <c r="B16" s="12" t="s">
        <v>25</v>
      </c>
      <c r="C16" s="12">
        <v>95</v>
      </c>
      <c r="D16" s="12">
        <v>37</v>
      </c>
      <c r="E16" s="12">
        <v>53</v>
      </c>
      <c r="F16" s="12">
        <v>76</v>
      </c>
      <c r="G16" s="12">
        <v>78</v>
      </c>
      <c r="H16" s="12">
        <v>37</v>
      </c>
      <c r="I16" s="8">
        <f t="shared" si="0"/>
        <v>376</v>
      </c>
      <c r="J16" s="58">
        <f t="shared" si="1"/>
        <v>0.62666666666666671</v>
      </c>
      <c r="K16" s="57">
        <f t="shared" si="2"/>
        <v>95</v>
      </c>
      <c r="L16" s="8">
        <f t="shared" si="3"/>
        <v>37</v>
      </c>
      <c r="M16" s="9">
        <f t="shared" si="4"/>
        <v>62.666666666666664</v>
      </c>
      <c r="N16" s="10" t="str">
        <f>LEFT(B16,6)</f>
        <v>AAKEEN</v>
      </c>
      <c r="O16" s="10">
        <f t="shared" si="5"/>
        <v>6</v>
      </c>
    </row>
    <row r="17" spans="1:15" ht="15.75" customHeight="1" x14ac:dyDescent="0.35">
      <c r="A17" s="11">
        <v>11</v>
      </c>
      <c r="B17" s="12" t="s">
        <v>26</v>
      </c>
      <c r="C17" s="12">
        <v>99</v>
      </c>
      <c r="D17" s="12">
        <v>81</v>
      </c>
      <c r="E17" s="12">
        <v>32</v>
      </c>
      <c r="F17" s="12">
        <v>59</v>
      </c>
      <c r="G17" s="12">
        <v>75</v>
      </c>
      <c r="H17" s="12">
        <v>53</v>
      </c>
      <c r="I17" s="8">
        <f t="shared" si="0"/>
        <v>399</v>
      </c>
      <c r="J17" s="58">
        <f t="shared" si="1"/>
        <v>0.66500000000000004</v>
      </c>
      <c r="K17" s="57">
        <f t="shared" si="2"/>
        <v>99</v>
      </c>
      <c r="L17" s="8">
        <f t="shared" si="3"/>
        <v>32</v>
      </c>
      <c r="M17" s="9">
        <f t="shared" si="4"/>
        <v>66.5</v>
      </c>
      <c r="N17" s="10" t="str">
        <f>MID(B17,8,6)</f>
        <v>SALMAN</v>
      </c>
      <c r="O17" s="10">
        <f t="shared" si="5"/>
        <v>6</v>
      </c>
    </row>
    <row r="18" spans="1:15" ht="15.75" customHeight="1" x14ac:dyDescent="0.35">
      <c r="A18" s="13">
        <v>12</v>
      </c>
      <c r="B18" s="14" t="s">
        <v>27</v>
      </c>
      <c r="C18" s="14">
        <v>10</v>
      </c>
      <c r="D18" s="14">
        <v>15</v>
      </c>
      <c r="E18" s="14">
        <v>20</v>
      </c>
      <c r="F18" s="14">
        <v>25</v>
      </c>
      <c r="G18" s="14">
        <v>15</v>
      </c>
      <c r="H18" s="14">
        <v>68</v>
      </c>
      <c r="I18" s="8">
        <f t="shared" si="0"/>
        <v>153</v>
      </c>
      <c r="J18" s="58">
        <f t="shared" si="1"/>
        <v>0.255</v>
      </c>
      <c r="K18" s="57">
        <f t="shared" si="2"/>
        <v>68</v>
      </c>
      <c r="L18" s="8">
        <f t="shared" si="3"/>
        <v>10</v>
      </c>
      <c r="M18" s="9">
        <f t="shared" si="4"/>
        <v>25.5</v>
      </c>
      <c r="N18" s="10" t="str">
        <f>MID(B18,8,7)</f>
        <v>BHUSHAN</v>
      </c>
      <c r="O18" s="10">
        <f t="shared" si="5"/>
        <v>7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12"/>
  <sheetViews>
    <sheetView workbookViewId="0">
      <selection activeCell="D9" sqref="D9"/>
    </sheetView>
  </sheetViews>
  <sheetFormatPr defaultColWidth="12.6328125" defaultRowHeight="15.75" customHeight="1" x14ac:dyDescent="0.25"/>
  <cols>
    <col min="1" max="1" width="45.08984375" customWidth="1"/>
    <col min="2" max="2" width="50.453125" customWidth="1"/>
    <col min="4" max="4" width="38.08984375" customWidth="1"/>
  </cols>
  <sheetData>
    <row r="2" spans="1:4" ht="15.75" customHeight="1" x14ac:dyDescent="0.25">
      <c r="A2" s="15" t="s">
        <v>28</v>
      </c>
      <c r="B2" s="15" t="s">
        <v>29</v>
      </c>
      <c r="D2" s="16" t="str">
        <f>REPLACE(A2,1,4,"Bio")</f>
        <v>BioScience</v>
      </c>
    </row>
    <row r="3" spans="1:4" ht="15.75" customHeight="1" x14ac:dyDescent="0.25">
      <c r="A3" s="15" t="s">
        <v>30</v>
      </c>
      <c r="B3" s="15" t="s">
        <v>31</v>
      </c>
      <c r="D3" s="16" t="str">
        <f>SUBSTITUTE(A3,"apple","orange")</f>
        <v>I like orange juice more than orange milkshake</v>
      </c>
    </row>
    <row r="5" spans="1:4" ht="15.75" customHeight="1" x14ac:dyDescent="0.25">
      <c r="A5" s="15" t="s">
        <v>32</v>
      </c>
      <c r="B5" s="15" t="s">
        <v>33</v>
      </c>
      <c r="D5" s="16" t="str">
        <f>REPLACE(A5,12,4,2025)</f>
        <v>TSKC-Batch-2025</v>
      </c>
    </row>
    <row r="7" spans="1:4" ht="15.75" customHeight="1" x14ac:dyDescent="0.25">
      <c r="A7" s="15" t="s">
        <v>34</v>
      </c>
    </row>
    <row r="8" spans="1:4" ht="15.75" customHeight="1" x14ac:dyDescent="0.25">
      <c r="A8" s="15" t="s">
        <v>35</v>
      </c>
      <c r="B8" s="15" t="s">
        <v>36</v>
      </c>
      <c r="D8" s="16" t="str">
        <f>REPLACE(A8,10,2,28)</f>
        <v>2025-108-28-01</v>
      </c>
    </row>
    <row r="9" spans="1:4" ht="15.75" customHeight="1" x14ac:dyDescent="0.25">
      <c r="A9" s="15" t="s">
        <v>37</v>
      </c>
      <c r="D9" s="16" t="str">
        <f t="shared" ref="D9:D12" si="0">REPLACE(A9,10,2,28)</f>
        <v>2025-108-28-02</v>
      </c>
    </row>
    <row r="10" spans="1:4" ht="15.75" customHeight="1" x14ac:dyDescent="0.25">
      <c r="A10" s="15" t="s">
        <v>38</v>
      </c>
      <c r="D10" s="16" t="str">
        <f t="shared" si="0"/>
        <v>2025-108-28-06</v>
      </c>
    </row>
    <row r="11" spans="1:4" ht="15.75" customHeight="1" x14ac:dyDescent="0.25">
      <c r="A11" s="15" t="s">
        <v>39</v>
      </c>
      <c r="D11" s="16" t="str">
        <f t="shared" si="0"/>
        <v>2025-108-28-07</v>
      </c>
    </row>
    <row r="12" spans="1:4" ht="15.75" customHeight="1" x14ac:dyDescent="0.25">
      <c r="A12" s="15" t="s">
        <v>40</v>
      </c>
      <c r="D12" s="16" t="str">
        <f t="shared" si="0"/>
        <v>2025-108-28-10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6"/>
  <sheetViews>
    <sheetView workbookViewId="0">
      <selection activeCell="E21" sqref="E21"/>
    </sheetView>
  </sheetViews>
  <sheetFormatPr defaultColWidth="12.6328125" defaultRowHeight="15.75" customHeight="1" x14ac:dyDescent="0.25"/>
  <cols>
    <col min="3" max="3" width="23.1796875" customWidth="1"/>
    <col min="4" max="4" width="19.26953125" customWidth="1"/>
    <col min="5" max="5" width="32.453125" customWidth="1"/>
  </cols>
  <sheetData>
    <row r="1" spans="1:11" ht="15.75" customHeight="1" x14ac:dyDescent="0.35">
      <c r="A1" s="49" t="s">
        <v>41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15.75" customHeight="1" x14ac:dyDescent="0.35">
      <c r="A2" s="2"/>
      <c r="B2" s="2"/>
      <c r="C2" s="17" t="s">
        <v>42</v>
      </c>
      <c r="D2" s="17" t="s">
        <v>43</v>
      </c>
      <c r="E2" s="17" t="s">
        <v>44</v>
      </c>
      <c r="F2" s="2"/>
      <c r="G2" s="2"/>
      <c r="H2" s="2"/>
      <c r="I2" s="2"/>
      <c r="J2" s="2"/>
      <c r="K2" s="2"/>
    </row>
    <row r="3" spans="1:11" ht="15.75" customHeight="1" x14ac:dyDescent="0.35">
      <c r="A3" s="2"/>
      <c r="B3" s="2"/>
      <c r="C3" s="18" t="s">
        <v>45</v>
      </c>
      <c r="D3" s="19" t="s">
        <v>46</v>
      </c>
      <c r="E3" s="19" t="s">
        <v>47</v>
      </c>
      <c r="F3" s="2"/>
      <c r="G3" s="2"/>
      <c r="H3" s="2"/>
      <c r="I3" s="2"/>
      <c r="J3" s="2"/>
      <c r="K3" s="2"/>
    </row>
    <row r="4" spans="1:11" ht="15.7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customHeight="1" x14ac:dyDescent="0.35">
      <c r="A5" s="2"/>
      <c r="B5" s="2"/>
      <c r="C5" s="2"/>
      <c r="D5" s="50" t="s">
        <v>48</v>
      </c>
      <c r="E5" s="51"/>
      <c r="F5" s="2"/>
      <c r="G5" s="2"/>
      <c r="H5" s="2"/>
      <c r="I5" s="2"/>
      <c r="J5" s="2"/>
      <c r="K5" s="2"/>
    </row>
    <row r="6" spans="1:11" ht="15.75" customHeight="1" x14ac:dyDescent="0.35">
      <c r="A6" s="2"/>
      <c r="B6" s="4" t="s">
        <v>49</v>
      </c>
      <c r="C6" s="20" t="s">
        <v>50</v>
      </c>
      <c r="D6" s="20" t="s">
        <v>43</v>
      </c>
      <c r="E6" s="20" t="s">
        <v>44</v>
      </c>
      <c r="F6" s="2"/>
      <c r="G6" s="2"/>
      <c r="H6" s="2"/>
      <c r="I6" s="2"/>
      <c r="J6" s="2"/>
      <c r="K6" s="2"/>
    </row>
    <row r="7" spans="1:11" ht="15.75" customHeight="1" x14ac:dyDescent="0.35">
      <c r="A7" s="2"/>
      <c r="B7" s="21">
        <v>1</v>
      </c>
      <c r="C7" s="22" t="s">
        <v>51</v>
      </c>
      <c r="D7" s="23" t="str">
        <f>LEFT(C7,8)</f>
        <v>RASIKLAL</v>
      </c>
      <c r="E7" s="23" t="str">
        <f>RIGHT(C7,8)</f>
        <v>JETHALAL</v>
      </c>
      <c r="F7" s="2"/>
      <c r="G7" s="2"/>
      <c r="H7" s="2"/>
      <c r="I7" s="2"/>
      <c r="J7" s="2"/>
      <c r="K7" s="2"/>
    </row>
    <row r="8" spans="1:11" ht="15.75" customHeight="1" x14ac:dyDescent="0.35">
      <c r="A8" s="2"/>
      <c r="B8" s="21">
        <v>2</v>
      </c>
      <c r="C8" s="24" t="s">
        <v>52</v>
      </c>
      <c r="D8" s="23" t="str">
        <f>LEFT(C8,5)</f>
        <v>SAROJ</v>
      </c>
      <c r="E8" s="23" t="str">
        <f>RIGHT(C8,8)</f>
        <v>RASIKLAL</v>
      </c>
      <c r="F8" s="2"/>
      <c r="G8" s="2"/>
      <c r="H8" s="2"/>
      <c r="I8" s="2"/>
      <c r="J8" s="2"/>
      <c r="K8" s="2"/>
    </row>
    <row r="9" spans="1:11" ht="15.75" customHeight="1" x14ac:dyDescent="0.35">
      <c r="A9" s="2"/>
      <c r="B9" s="21">
        <v>3</v>
      </c>
      <c r="C9" s="24" t="s">
        <v>53</v>
      </c>
      <c r="D9" s="23" t="str">
        <f>LEFT(C9,6)</f>
        <v>MAULIK</v>
      </c>
      <c r="E9" s="23" t="str">
        <f>RIGHT(C9,12)</f>
        <v>VINODCHANDRA</v>
      </c>
      <c r="F9" s="2"/>
      <c r="G9" s="2"/>
      <c r="H9" s="2"/>
      <c r="I9" s="2"/>
      <c r="J9" s="2"/>
      <c r="K9" s="2"/>
    </row>
    <row r="10" spans="1:11" ht="15.75" customHeight="1" x14ac:dyDescent="0.35">
      <c r="A10" s="2"/>
      <c r="B10" s="21">
        <v>4</v>
      </c>
      <c r="C10" s="24" t="s">
        <v>54</v>
      </c>
      <c r="D10" s="23" t="str">
        <f>LEFT(C10,5)</f>
        <v>JIGAR</v>
      </c>
      <c r="E10" s="23" t="str">
        <f>RIGHT(C10,7)</f>
        <v>BHUPESH</v>
      </c>
      <c r="F10" s="2"/>
      <c r="G10" s="2"/>
      <c r="H10" s="2"/>
      <c r="I10" s="2"/>
      <c r="J10" s="2"/>
      <c r="K10" s="2"/>
    </row>
    <row r="11" spans="1:11" ht="15.75" customHeight="1" x14ac:dyDescent="0.35">
      <c r="A11" s="2"/>
      <c r="B11" s="21">
        <v>5</v>
      </c>
      <c r="C11" s="24" t="s">
        <v>55</v>
      </c>
      <c r="D11" s="23" t="str">
        <f>LEFT(C11,8)</f>
        <v>HIMANSHU</v>
      </c>
      <c r="E11" s="23" t="str">
        <f>RIGHT(C11,5)</f>
        <v>JOSHI</v>
      </c>
      <c r="F11" s="2"/>
      <c r="G11" s="2"/>
      <c r="H11" s="2"/>
      <c r="I11" s="2"/>
      <c r="J11" s="2"/>
      <c r="K11" s="2"/>
    </row>
    <row r="12" spans="1:11" ht="15.75" customHeight="1" x14ac:dyDescent="0.35">
      <c r="A12" s="2"/>
      <c r="B12" s="21">
        <v>6</v>
      </c>
      <c r="C12" s="24" t="s">
        <v>56</v>
      </c>
      <c r="D12" s="23" t="str">
        <f>LEFT(C12,5)</f>
        <v>GEETA</v>
      </c>
      <c r="E12" s="23" t="str">
        <f>RIGHT(C12,10)</f>
        <v>VASHISHTHA</v>
      </c>
      <c r="F12" s="2"/>
      <c r="G12" s="2"/>
      <c r="H12" s="2"/>
      <c r="I12" s="2"/>
      <c r="J12" s="2"/>
      <c r="K12" s="2"/>
    </row>
    <row r="13" spans="1:11" ht="15.75" customHeight="1" x14ac:dyDescent="0.35">
      <c r="A13" s="2"/>
      <c r="B13" s="21">
        <v>7</v>
      </c>
      <c r="C13" s="24" t="s">
        <v>57</v>
      </c>
      <c r="D13" s="23" t="str">
        <f>LEFT(C13,8)</f>
        <v>HITENDRA</v>
      </c>
      <c r="E13" s="23" t="str">
        <f>RIGHT(C13,9)</f>
        <v>RAJNIKANT</v>
      </c>
      <c r="F13" s="2"/>
      <c r="G13" s="2"/>
      <c r="H13" s="2"/>
      <c r="I13" s="2"/>
      <c r="J13" s="2"/>
      <c r="K13" s="2"/>
    </row>
    <row r="14" spans="1:11" ht="15.75" customHeight="1" x14ac:dyDescent="0.35">
      <c r="A14" s="2"/>
      <c r="B14" s="21">
        <v>8</v>
      </c>
      <c r="C14" s="24" t="s">
        <v>58</v>
      </c>
      <c r="D14" s="23" t="str">
        <f>LEFT(C14,5)</f>
        <v>ARUNA</v>
      </c>
      <c r="E14" s="23" t="str">
        <f>RIGHT(C14,4)</f>
        <v>GARG</v>
      </c>
      <c r="F14" s="2"/>
      <c r="G14" s="2"/>
      <c r="H14" s="2"/>
      <c r="I14" s="2"/>
      <c r="J14" s="2"/>
      <c r="K14" s="2"/>
    </row>
    <row r="15" spans="1:11" ht="15.75" customHeight="1" x14ac:dyDescent="0.35">
      <c r="A15" s="2"/>
      <c r="B15" s="21">
        <v>9</v>
      </c>
      <c r="C15" s="24" t="s">
        <v>59</v>
      </c>
      <c r="D15" s="23" t="str">
        <f>LEFT(C15,6)</f>
        <v>DHAVAL</v>
      </c>
      <c r="E15" s="23" t="str">
        <f>RIGHT(C15,9)</f>
        <v>NATVARLAL</v>
      </c>
      <c r="F15" s="2"/>
      <c r="G15" s="2"/>
      <c r="H15" s="2"/>
      <c r="I15" s="2"/>
      <c r="J15" s="2"/>
      <c r="K15" s="2"/>
    </row>
    <row r="16" spans="1:11" ht="15.75" customHeight="1" x14ac:dyDescent="0.35">
      <c r="A16" s="2"/>
      <c r="B16" s="25">
        <v>10</v>
      </c>
      <c r="C16" s="26" t="s">
        <v>60</v>
      </c>
      <c r="D16" s="27" t="str">
        <f>LEFT(C16,9)</f>
        <v>NATVARLAL</v>
      </c>
      <c r="E16" s="27" t="str">
        <f>RIGHT(C16,7)</f>
        <v>HIRALAL</v>
      </c>
      <c r="F16" s="2"/>
      <c r="G16" s="2"/>
      <c r="H16" s="2"/>
      <c r="I16" s="2"/>
      <c r="J16" s="2"/>
      <c r="K16" s="2"/>
    </row>
  </sheetData>
  <mergeCells count="2">
    <mergeCell ref="A1:K1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7"/>
  <sheetViews>
    <sheetView workbookViewId="0">
      <selection activeCell="E22" sqref="E22"/>
    </sheetView>
  </sheetViews>
  <sheetFormatPr defaultColWidth="12.6328125" defaultRowHeight="15.75" customHeight="1" x14ac:dyDescent="0.25"/>
  <cols>
    <col min="4" max="4" width="23.81640625" customWidth="1"/>
    <col min="5" max="5" width="45.90625" customWidth="1"/>
  </cols>
  <sheetData>
    <row r="1" spans="1:9" ht="15.75" customHeight="1" x14ac:dyDescent="0.35">
      <c r="A1" s="49" t="s">
        <v>61</v>
      </c>
      <c r="B1" s="47"/>
      <c r="C1" s="47"/>
      <c r="D1" s="47"/>
      <c r="E1" s="47"/>
      <c r="F1" s="47"/>
      <c r="G1" s="47"/>
      <c r="H1" s="47"/>
      <c r="I1" s="48"/>
    </row>
    <row r="2" spans="1:9" ht="15.75" customHeight="1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15.75" customHeight="1" x14ac:dyDescent="0.35">
      <c r="A3" s="2"/>
      <c r="B3" s="52" t="s">
        <v>42</v>
      </c>
      <c r="C3" s="53"/>
      <c r="D3" s="53"/>
      <c r="E3" s="54"/>
      <c r="F3" s="2"/>
      <c r="G3" s="2"/>
      <c r="H3" s="2"/>
      <c r="I3" s="2"/>
    </row>
    <row r="4" spans="1:9" ht="15.75" customHeight="1" x14ac:dyDescent="0.35">
      <c r="A4" s="2"/>
      <c r="B4" s="17" t="s">
        <v>62</v>
      </c>
      <c r="C4" s="17" t="s">
        <v>63</v>
      </c>
      <c r="D4" s="17" t="s">
        <v>64</v>
      </c>
      <c r="E4" s="28" t="s">
        <v>65</v>
      </c>
      <c r="F4" s="2"/>
      <c r="G4" s="2"/>
      <c r="H4" s="2"/>
      <c r="I4" s="2"/>
    </row>
    <row r="5" spans="1:9" ht="15.75" customHeight="1" x14ac:dyDescent="0.35">
      <c r="A5" s="2"/>
      <c r="B5" s="29" t="s">
        <v>66</v>
      </c>
      <c r="C5" s="29" t="s">
        <v>67</v>
      </c>
      <c r="D5" s="29" t="s">
        <v>68</v>
      </c>
      <c r="E5" s="30" t="s">
        <v>69</v>
      </c>
      <c r="F5" s="2"/>
      <c r="G5" s="2"/>
      <c r="H5" s="2"/>
      <c r="I5" s="2"/>
    </row>
    <row r="6" spans="1:9" ht="15.75" customHeight="1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ht="15.75" customHeight="1" x14ac:dyDescent="0.35">
      <c r="A7" s="2"/>
      <c r="B7" s="31" t="s">
        <v>62</v>
      </c>
      <c r="C7" s="32" t="s">
        <v>63</v>
      </c>
      <c r="D7" s="32" t="s">
        <v>64</v>
      </c>
      <c r="E7" s="33" t="s">
        <v>65</v>
      </c>
      <c r="F7" s="2"/>
      <c r="G7" s="2"/>
      <c r="H7" s="2"/>
      <c r="I7" s="2"/>
    </row>
    <row r="8" spans="1:9" ht="15.75" customHeight="1" x14ac:dyDescent="0.35">
      <c r="A8" s="2"/>
      <c r="B8" s="34" t="s">
        <v>66</v>
      </c>
      <c r="C8" s="24" t="s">
        <v>67</v>
      </c>
      <c r="D8" s="24" t="s">
        <v>68</v>
      </c>
      <c r="E8" s="35" t="str">
        <f>CONCATENATE(B8,"/",C8,"/",D8)</f>
        <v>Hardware/Damaged-Malfunctioned/Printer</v>
      </c>
      <c r="F8" s="2"/>
      <c r="G8" s="2"/>
      <c r="H8" s="2"/>
      <c r="I8" s="2"/>
    </row>
    <row r="9" spans="1:9" ht="15.75" customHeight="1" x14ac:dyDescent="0.35">
      <c r="A9" s="2"/>
      <c r="B9" s="34" t="s">
        <v>66</v>
      </c>
      <c r="C9" s="24" t="s">
        <v>70</v>
      </c>
      <c r="D9" s="24" t="s">
        <v>71</v>
      </c>
      <c r="E9" s="35" t="str">
        <f t="shared" ref="E9:E16" si="0">CONCATENATE(B9,"/",C9,"/",D9)</f>
        <v>Hardware/Complete System/Return to Inventory</v>
      </c>
      <c r="F9" s="2"/>
      <c r="G9" s="2"/>
      <c r="H9" s="2"/>
      <c r="I9" s="2"/>
    </row>
    <row r="10" spans="1:9" ht="15.75" customHeight="1" x14ac:dyDescent="0.35">
      <c r="A10" s="2"/>
      <c r="B10" s="34" t="s">
        <v>66</v>
      </c>
      <c r="C10" s="24" t="s">
        <v>72</v>
      </c>
      <c r="D10" s="24" t="s">
        <v>73</v>
      </c>
      <c r="E10" s="35" t="str">
        <f t="shared" si="0"/>
        <v>Hardware/Usage/iPad</v>
      </c>
      <c r="F10" s="2"/>
      <c r="G10" s="2"/>
      <c r="H10" s="2"/>
      <c r="I10" s="2"/>
    </row>
    <row r="11" spans="1:9" ht="15.75" customHeight="1" x14ac:dyDescent="0.35">
      <c r="A11" s="2"/>
      <c r="B11" s="34" t="s">
        <v>74</v>
      </c>
      <c r="C11" s="24" t="s">
        <v>75</v>
      </c>
      <c r="D11" s="24" t="s">
        <v>76</v>
      </c>
      <c r="E11" s="35" t="str">
        <f t="shared" si="0"/>
        <v>Off the Shelf/Windows 7/Logon</v>
      </c>
      <c r="F11" s="2"/>
      <c r="G11" s="2"/>
      <c r="H11" s="2"/>
      <c r="I11" s="2"/>
    </row>
    <row r="12" spans="1:9" ht="15.75" customHeight="1" x14ac:dyDescent="0.35">
      <c r="A12" s="2"/>
      <c r="B12" s="34" t="s">
        <v>77</v>
      </c>
      <c r="C12" s="24" t="s">
        <v>78</v>
      </c>
      <c r="D12" s="24" t="s">
        <v>79</v>
      </c>
      <c r="E12" s="35" t="str">
        <f t="shared" si="0"/>
        <v xml:space="preserve"> No Area Given / No Sub Area Given / No SubSubArea Given </v>
      </c>
      <c r="F12" s="2"/>
      <c r="G12" s="2"/>
      <c r="H12" s="2"/>
      <c r="I12" s="2"/>
    </row>
    <row r="13" spans="1:9" ht="15.75" customHeight="1" x14ac:dyDescent="0.35">
      <c r="A13" s="2"/>
      <c r="B13" s="34" t="s">
        <v>80</v>
      </c>
      <c r="C13" s="24" t="s">
        <v>81</v>
      </c>
      <c r="D13" s="24" t="s">
        <v>82</v>
      </c>
      <c r="E13" s="35" t="str">
        <f t="shared" si="0"/>
        <v>iPad - Hardware/Lost/Stolen/Miscellaneous Items</v>
      </c>
      <c r="F13" s="2"/>
      <c r="G13" s="2"/>
      <c r="H13" s="2"/>
      <c r="I13" s="2"/>
    </row>
    <row r="14" spans="1:9" ht="15.75" customHeight="1" x14ac:dyDescent="0.35">
      <c r="A14" s="2"/>
      <c r="B14" s="34" t="s">
        <v>83</v>
      </c>
      <c r="C14" s="24" t="s">
        <v>84</v>
      </c>
      <c r="D14" s="24" t="s">
        <v>85</v>
      </c>
      <c r="E14" s="35" t="str">
        <f t="shared" si="0"/>
        <v>Veeva/Calls/Missing</v>
      </c>
      <c r="F14" s="2"/>
      <c r="G14" s="2"/>
      <c r="H14" s="2"/>
      <c r="I14" s="2"/>
    </row>
    <row r="15" spans="1:9" ht="15.75" customHeight="1" x14ac:dyDescent="0.35">
      <c r="A15" s="2"/>
      <c r="B15" s="34" t="s">
        <v>80</v>
      </c>
      <c r="C15" s="24" t="s">
        <v>86</v>
      </c>
      <c r="D15" s="24" t="s">
        <v>73</v>
      </c>
      <c r="E15" s="35" t="str">
        <f t="shared" si="0"/>
        <v>iPad - Hardware/Request/iPad</v>
      </c>
      <c r="F15" s="2"/>
      <c r="G15" s="2"/>
      <c r="H15" s="2"/>
      <c r="I15" s="2"/>
    </row>
    <row r="16" spans="1:9" ht="15.75" customHeight="1" x14ac:dyDescent="0.35">
      <c r="A16" s="2"/>
      <c r="B16" s="36" t="s">
        <v>83</v>
      </c>
      <c r="C16" s="26" t="s">
        <v>84</v>
      </c>
      <c r="D16" s="26" t="s">
        <v>87</v>
      </c>
      <c r="E16" s="35" t="str">
        <f t="shared" si="0"/>
        <v>Veeva/Calls/Expenses</v>
      </c>
      <c r="F16" s="2"/>
      <c r="G16" s="2"/>
      <c r="H16" s="2"/>
      <c r="I16" s="2"/>
    </row>
    <row r="17" spans="1:9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</row>
  </sheetData>
  <mergeCells count="2">
    <mergeCell ref="A1:I1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8"/>
  <sheetViews>
    <sheetView workbookViewId="0">
      <selection activeCell="F10" sqref="F10"/>
    </sheetView>
  </sheetViews>
  <sheetFormatPr defaultColWidth="12.6328125" defaultRowHeight="15.75" customHeight="1" x14ac:dyDescent="0.25"/>
  <cols>
    <col min="1" max="1" width="17.6328125" customWidth="1"/>
    <col min="4" max="4" width="16.36328125" customWidth="1"/>
  </cols>
  <sheetData>
    <row r="1" spans="1:17" ht="15.75" customHeight="1" x14ac:dyDescent="0.35">
      <c r="A1" s="55" t="s">
        <v>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17" ht="15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.75" customHeight="1" x14ac:dyDescent="0.35">
      <c r="A3" s="28" t="s">
        <v>89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customHeight="1" x14ac:dyDescent="0.35">
      <c r="A4" s="28" t="s">
        <v>90</v>
      </c>
      <c r="B4" s="2"/>
      <c r="C4" s="2"/>
      <c r="D4" s="37" t="s">
        <v>91</v>
      </c>
      <c r="E4" s="38">
        <f>COUNT(A5:A27)</f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75" customHeight="1" x14ac:dyDescent="0.35">
      <c r="A5" s="39" t="s">
        <v>92</v>
      </c>
      <c r="B5" s="2"/>
      <c r="C5" s="2"/>
      <c r="D5" s="37" t="s">
        <v>93</v>
      </c>
      <c r="E5" s="38">
        <f>COUNTBLANK(A5:A27)</f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customHeight="1" x14ac:dyDescent="0.35">
      <c r="A6" s="39">
        <v>25458</v>
      </c>
      <c r="B6" s="2"/>
      <c r="C6" s="2"/>
      <c r="D6" s="37" t="s">
        <v>94</v>
      </c>
      <c r="E6" s="38">
        <f>COUNTA(A5:A27)</f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customHeight="1" x14ac:dyDescent="0.35">
      <c r="A7" s="39" t="s">
        <v>95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 x14ac:dyDescent="0.35">
      <c r="A8" s="39" t="s">
        <v>96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customHeight="1" x14ac:dyDescent="0.35">
      <c r="A9" s="2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customHeight="1" x14ac:dyDescent="0.35">
      <c r="A10" s="39" t="s">
        <v>97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customHeight="1" x14ac:dyDescent="0.35">
      <c r="A11" s="39" t="s">
        <v>98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customHeight="1" x14ac:dyDescent="0.35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customHeight="1" x14ac:dyDescent="0.35">
      <c r="A13" s="39" t="s">
        <v>99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customHeight="1" x14ac:dyDescent="0.35">
      <c r="A14" s="39" t="s">
        <v>100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75" customHeight="1" x14ac:dyDescent="0.35">
      <c r="A15" s="39" t="s">
        <v>100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customHeight="1" x14ac:dyDescent="0.35">
      <c r="A16" s="39" t="s">
        <v>101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customHeight="1" x14ac:dyDescent="0.35">
      <c r="A17" s="39" t="s">
        <v>102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customHeight="1" x14ac:dyDescent="0.35">
      <c r="A18" s="39" t="s">
        <v>103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75" customHeight="1" x14ac:dyDescent="0.35">
      <c r="A19" s="39" t="s">
        <v>104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customHeight="1" x14ac:dyDescent="0.35">
      <c r="A20" s="39" t="s">
        <v>105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customHeight="1" x14ac:dyDescent="0.35">
      <c r="A21" s="39" t="s">
        <v>106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 x14ac:dyDescent="0.35">
      <c r="A22" s="39" t="s">
        <v>107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customHeight="1" x14ac:dyDescent="0.35">
      <c r="A23" s="39" t="s">
        <v>108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35">
      <c r="A24" s="39" t="s">
        <v>109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customHeight="1" x14ac:dyDescent="0.35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 x14ac:dyDescent="0.35">
      <c r="A26" s="39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 x14ac:dyDescent="0.35">
      <c r="A27" s="39" t="s">
        <v>111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workbookViewId="0">
      <selection activeCell="D3" sqref="D3"/>
    </sheetView>
  </sheetViews>
  <sheetFormatPr defaultColWidth="12.6328125" defaultRowHeight="15.75" customHeight="1" x14ac:dyDescent="0.25"/>
  <sheetData>
    <row r="1" spans="1:7" ht="15.75" customHeight="1" x14ac:dyDescent="0.35">
      <c r="A1" s="49" t="s">
        <v>112</v>
      </c>
      <c r="B1" s="47"/>
      <c r="C1" s="47"/>
      <c r="D1" s="47"/>
      <c r="E1" s="47"/>
      <c r="F1" s="47"/>
      <c r="G1" s="48"/>
    </row>
    <row r="2" spans="1:7" ht="15.75" customHeight="1" x14ac:dyDescent="0.35">
      <c r="A2" s="2"/>
      <c r="B2" s="2"/>
      <c r="C2" s="2"/>
      <c r="D2" s="2"/>
      <c r="E2" s="2"/>
      <c r="F2" s="2"/>
      <c r="G2" s="2"/>
    </row>
    <row r="3" spans="1:7" ht="15.75" customHeight="1" x14ac:dyDescent="0.35">
      <c r="A3" s="2"/>
      <c r="B3" s="40" t="s">
        <v>113</v>
      </c>
      <c r="C3" s="2"/>
      <c r="D3" s="38"/>
      <c r="E3" s="2"/>
      <c r="F3" s="2"/>
      <c r="G3" s="2"/>
    </row>
    <row r="4" spans="1:7" ht="15.75" customHeight="1" x14ac:dyDescent="0.35">
      <c r="A4" s="2"/>
      <c r="B4" s="41" t="s">
        <v>114</v>
      </c>
      <c r="C4" s="2"/>
      <c r="D4" s="2"/>
      <c r="E4" s="2"/>
      <c r="F4" s="2"/>
      <c r="G4" s="2"/>
    </row>
    <row r="5" spans="1:7" ht="15.75" customHeight="1" x14ac:dyDescent="0.35">
      <c r="A5" s="2"/>
      <c r="B5" s="41" t="s">
        <v>115</v>
      </c>
      <c r="C5" s="2"/>
      <c r="D5" s="2"/>
      <c r="E5" s="2"/>
      <c r="F5" s="2"/>
      <c r="G5" s="2"/>
    </row>
    <row r="6" spans="1:7" ht="15.75" customHeight="1" x14ac:dyDescent="0.35">
      <c r="A6" s="2"/>
      <c r="B6" s="41" t="s">
        <v>116</v>
      </c>
      <c r="C6" s="2"/>
      <c r="D6" s="2"/>
      <c r="E6" s="2"/>
      <c r="F6" s="2"/>
      <c r="G6" s="2"/>
    </row>
    <row r="7" spans="1:7" ht="15.75" customHeight="1" x14ac:dyDescent="0.35">
      <c r="A7" s="2"/>
      <c r="B7" s="41" t="s">
        <v>84</v>
      </c>
      <c r="C7" s="2"/>
      <c r="D7" s="2"/>
      <c r="E7" s="2"/>
      <c r="F7" s="2"/>
      <c r="G7" s="2"/>
    </row>
    <row r="8" spans="1:7" ht="15.75" customHeight="1" x14ac:dyDescent="0.35">
      <c r="A8" s="2"/>
      <c r="B8" s="41" t="s">
        <v>117</v>
      </c>
      <c r="C8" s="2"/>
      <c r="D8" s="2"/>
      <c r="E8" s="2"/>
      <c r="F8" s="2"/>
      <c r="G8" s="2"/>
    </row>
    <row r="9" spans="1:7" ht="15.75" customHeight="1" x14ac:dyDescent="0.35">
      <c r="A9" s="2"/>
      <c r="B9" s="41" t="s">
        <v>118</v>
      </c>
      <c r="C9" s="2"/>
      <c r="D9" s="2"/>
      <c r="E9" s="2"/>
      <c r="F9" s="2"/>
      <c r="G9" s="2"/>
    </row>
    <row r="10" spans="1:7" ht="15.75" customHeight="1" x14ac:dyDescent="0.35">
      <c r="A10" s="2"/>
      <c r="B10" s="41" t="s">
        <v>119</v>
      </c>
      <c r="C10" s="2"/>
      <c r="D10" s="2"/>
      <c r="E10" s="2"/>
      <c r="F10" s="2"/>
      <c r="G10" s="2"/>
    </row>
    <row r="11" spans="1:7" ht="15.75" customHeight="1" x14ac:dyDescent="0.35">
      <c r="A11" s="2"/>
      <c r="B11" s="41" t="s">
        <v>120</v>
      </c>
      <c r="C11" s="2"/>
      <c r="D11" s="2"/>
      <c r="E11" s="2"/>
      <c r="F11" s="2"/>
      <c r="G11" s="2"/>
    </row>
    <row r="12" spans="1:7" ht="15.75" customHeight="1" x14ac:dyDescent="0.35">
      <c r="A12" s="2"/>
      <c r="B12" s="41" t="s">
        <v>121</v>
      </c>
      <c r="C12" s="2"/>
      <c r="D12" s="2"/>
      <c r="E12" s="2"/>
      <c r="F12" s="2"/>
      <c r="G12" s="2"/>
    </row>
    <row r="13" spans="1:7" ht="15.75" customHeight="1" x14ac:dyDescent="0.35">
      <c r="A13" s="2"/>
      <c r="B13" s="41" t="s">
        <v>122</v>
      </c>
      <c r="C13" s="2"/>
      <c r="D13" s="2"/>
      <c r="E13" s="2"/>
      <c r="F13" s="2"/>
      <c r="G13" s="2"/>
    </row>
    <row r="14" spans="1:7" ht="15.75" customHeight="1" x14ac:dyDescent="0.35">
      <c r="A14" s="2"/>
      <c r="B14" s="41" t="s">
        <v>123</v>
      </c>
      <c r="C14" s="2"/>
      <c r="D14" s="2"/>
      <c r="E14" s="2"/>
      <c r="F14" s="2"/>
      <c r="G14" s="2"/>
    </row>
    <row r="15" spans="1:7" ht="15.75" customHeight="1" x14ac:dyDescent="0.35">
      <c r="A15" s="2"/>
      <c r="B15" s="41" t="s">
        <v>124</v>
      </c>
      <c r="C15" s="2"/>
      <c r="D15" s="2"/>
      <c r="E15" s="2"/>
      <c r="F15" s="2"/>
      <c r="G15" s="2"/>
    </row>
    <row r="16" spans="1:7" ht="15.75" customHeight="1" x14ac:dyDescent="0.35">
      <c r="A16" s="2"/>
      <c r="B16" s="41" t="s">
        <v>125</v>
      </c>
      <c r="C16" s="2"/>
      <c r="D16" s="2"/>
      <c r="E16" s="2"/>
      <c r="F16" s="2"/>
      <c r="G16" s="2"/>
    </row>
    <row r="17" spans="1:7" ht="15.75" customHeight="1" x14ac:dyDescent="0.35">
      <c r="A17" s="2"/>
      <c r="B17" s="41" t="s">
        <v>126</v>
      </c>
      <c r="C17" s="2"/>
      <c r="D17" s="2"/>
      <c r="E17" s="2"/>
      <c r="F17" s="2"/>
      <c r="G17" s="2"/>
    </row>
    <row r="18" spans="1:7" ht="15.75" customHeight="1" x14ac:dyDescent="0.35">
      <c r="A18" s="2"/>
      <c r="B18" s="41" t="s">
        <v>127</v>
      </c>
      <c r="C18" s="2"/>
      <c r="D18" s="2"/>
      <c r="E18" s="2"/>
      <c r="F18" s="2"/>
      <c r="G18" s="2"/>
    </row>
    <row r="19" spans="1:7" ht="15.75" customHeight="1" x14ac:dyDescent="0.35">
      <c r="A19" s="2"/>
      <c r="B19" s="41" t="s">
        <v>128</v>
      </c>
      <c r="C19" s="2"/>
      <c r="D19" s="2"/>
      <c r="E19" s="2"/>
      <c r="F19" s="2"/>
      <c r="G19" s="2"/>
    </row>
    <row r="20" spans="1:7" ht="15.75" customHeight="1" x14ac:dyDescent="0.35">
      <c r="A20" s="2"/>
      <c r="B20" s="42" t="s">
        <v>129</v>
      </c>
      <c r="C20" s="2"/>
      <c r="D20" s="2"/>
      <c r="E20" s="2"/>
      <c r="F20" s="2"/>
      <c r="G20" s="2"/>
    </row>
  </sheetData>
  <mergeCells count="1">
    <mergeCell ref="A1:G1"/>
  </mergeCells>
  <dataValidations count="1">
    <dataValidation type="list" allowBlank="1" showInputMessage="1" showErrorMessage="1" sqref="D3">
      <formula1>$B$4:$B$20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"/>
  <sheetViews>
    <sheetView workbookViewId="0">
      <selection activeCell="N13" sqref="N13"/>
    </sheetView>
  </sheetViews>
  <sheetFormatPr defaultColWidth="12.6328125" defaultRowHeight="15.75" customHeight="1" x14ac:dyDescent="0.25"/>
  <cols>
    <col min="9" max="9" width="23.36328125" bestFit="1" customWidth="1"/>
    <col min="10" max="10" width="15.90625" customWidth="1"/>
    <col min="11" max="12" width="6.90625" customWidth="1"/>
    <col min="13" max="13" width="11.08984375" customWidth="1"/>
  </cols>
  <sheetData>
    <row r="1" spans="1:13" ht="15.75" customHeight="1" x14ac:dyDescent="0.35">
      <c r="A1" s="49" t="s">
        <v>130</v>
      </c>
      <c r="B1" s="47"/>
      <c r="C1" s="47"/>
      <c r="D1" s="47"/>
      <c r="E1" s="47"/>
      <c r="F1" s="47"/>
      <c r="G1" s="47"/>
      <c r="H1" s="48"/>
    </row>
    <row r="2" spans="1:13" ht="15.75" customHeight="1" x14ac:dyDescent="0.35">
      <c r="A2" s="2"/>
      <c r="B2" s="2"/>
      <c r="C2" s="2"/>
      <c r="D2" s="2"/>
      <c r="E2" s="2"/>
      <c r="F2" s="2"/>
      <c r="G2" s="2"/>
      <c r="H2" s="2"/>
    </row>
    <row r="3" spans="1:13" ht="15.75" customHeight="1" x14ac:dyDescent="0.35">
      <c r="A3" s="2"/>
      <c r="B3" s="3" t="s">
        <v>131</v>
      </c>
      <c r="C3" s="4" t="s">
        <v>63</v>
      </c>
      <c r="D3" s="4" t="s">
        <v>64</v>
      </c>
      <c r="E3" s="4" t="s">
        <v>132</v>
      </c>
      <c r="F3" s="43" t="s">
        <v>133</v>
      </c>
      <c r="G3" s="2"/>
      <c r="H3" s="2"/>
    </row>
    <row r="4" spans="1:13" ht="15.75" customHeight="1" x14ac:dyDescent="0.35">
      <c r="A4" s="2"/>
      <c r="B4" s="6" t="s">
        <v>134</v>
      </c>
      <c r="C4" s="7" t="s">
        <v>66</v>
      </c>
      <c r="D4" s="7" t="s">
        <v>67</v>
      </c>
      <c r="E4" s="7" t="s">
        <v>135</v>
      </c>
      <c r="F4" s="44" t="s">
        <v>136</v>
      </c>
      <c r="G4" s="2"/>
      <c r="H4" s="2"/>
    </row>
    <row r="5" spans="1:13" ht="15.75" customHeight="1" x14ac:dyDescent="0.35">
      <c r="A5" s="2"/>
      <c r="B5" s="11" t="s">
        <v>134</v>
      </c>
      <c r="C5" s="12" t="s">
        <v>66</v>
      </c>
      <c r="D5" s="12" t="s">
        <v>70</v>
      </c>
      <c r="E5" s="12" t="s">
        <v>135</v>
      </c>
      <c r="F5" s="45" t="s">
        <v>136</v>
      </c>
      <c r="G5" s="2"/>
      <c r="H5" s="2"/>
    </row>
    <row r="6" spans="1:13" ht="15.75" customHeight="1" x14ac:dyDescent="0.35">
      <c r="A6" s="2"/>
      <c r="B6" s="11" t="s">
        <v>134</v>
      </c>
      <c r="C6" s="12" t="s">
        <v>66</v>
      </c>
      <c r="D6" s="12" t="s">
        <v>72</v>
      </c>
      <c r="E6" s="12" t="s">
        <v>135</v>
      </c>
      <c r="F6" s="45" t="s">
        <v>137</v>
      </c>
      <c r="G6" s="2"/>
      <c r="H6" s="2"/>
    </row>
    <row r="7" spans="1:13" ht="15.75" customHeight="1" x14ac:dyDescent="0.35">
      <c r="A7" s="2"/>
      <c r="B7" s="11" t="s">
        <v>134</v>
      </c>
      <c r="C7" s="12" t="s">
        <v>74</v>
      </c>
      <c r="D7" s="12" t="s">
        <v>75</v>
      </c>
      <c r="E7" s="12" t="s">
        <v>135</v>
      </c>
      <c r="F7" s="45" t="s">
        <v>137</v>
      </c>
      <c r="G7" s="2"/>
      <c r="H7" s="2"/>
    </row>
    <row r="8" spans="1:13" ht="15.75" customHeight="1" x14ac:dyDescent="0.35">
      <c r="A8" s="2"/>
      <c r="B8" s="11" t="s">
        <v>134</v>
      </c>
      <c r="C8" s="12" t="s">
        <v>77</v>
      </c>
      <c r="D8" s="12" t="s">
        <v>78</v>
      </c>
      <c r="E8" s="12" t="s">
        <v>135</v>
      </c>
      <c r="F8" s="45" t="s">
        <v>138</v>
      </c>
      <c r="G8" s="2"/>
      <c r="H8" s="2"/>
    </row>
    <row r="9" spans="1:13" ht="15.75" customHeight="1" x14ac:dyDescent="0.35">
      <c r="A9" s="2"/>
      <c r="B9" s="11" t="s">
        <v>134</v>
      </c>
      <c r="C9" s="12" t="s">
        <v>80</v>
      </c>
      <c r="D9" s="12" t="s">
        <v>81</v>
      </c>
      <c r="E9" s="12" t="s">
        <v>135</v>
      </c>
      <c r="F9" s="45" t="s">
        <v>137</v>
      </c>
      <c r="G9" s="2"/>
      <c r="H9" s="2"/>
    </row>
    <row r="10" spans="1:13" ht="15.75" customHeight="1" x14ac:dyDescent="0.35">
      <c r="A10" s="2"/>
      <c r="B10" s="11" t="s">
        <v>134</v>
      </c>
      <c r="C10" s="12" t="s">
        <v>83</v>
      </c>
      <c r="D10" s="12" t="s">
        <v>84</v>
      </c>
      <c r="E10" s="12" t="s">
        <v>135</v>
      </c>
      <c r="F10" s="45" t="s">
        <v>137</v>
      </c>
      <c r="G10" s="2"/>
      <c r="H10" s="2"/>
      <c r="I10" s="59" t="s">
        <v>147</v>
      </c>
      <c r="J10" s="59" t="s">
        <v>133</v>
      </c>
    </row>
    <row r="11" spans="1:13" ht="15.75" customHeight="1" x14ac:dyDescent="0.35">
      <c r="A11" s="2"/>
      <c r="B11" s="11" t="s">
        <v>134</v>
      </c>
      <c r="C11" s="12" t="s">
        <v>80</v>
      </c>
      <c r="D11" s="12" t="s">
        <v>86</v>
      </c>
      <c r="E11" s="12" t="s">
        <v>135</v>
      </c>
      <c r="F11" s="45" t="s">
        <v>136</v>
      </c>
      <c r="G11" s="2"/>
      <c r="H11" s="2"/>
      <c r="I11" s="59" t="s">
        <v>148</v>
      </c>
      <c r="J11" t="s">
        <v>138</v>
      </c>
      <c r="K11" t="s">
        <v>137</v>
      </c>
      <c r="L11" t="s">
        <v>136</v>
      </c>
      <c r="M11" t="s">
        <v>146</v>
      </c>
    </row>
    <row r="12" spans="1:13" ht="15.75" customHeight="1" x14ac:dyDescent="0.35">
      <c r="A12" s="2"/>
      <c r="B12" s="11" t="s">
        <v>134</v>
      </c>
      <c r="C12" s="12" t="s">
        <v>83</v>
      </c>
      <c r="D12" s="12" t="s">
        <v>84</v>
      </c>
      <c r="E12" s="12" t="s">
        <v>135</v>
      </c>
      <c r="F12" s="45" t="s">
        <v>137</v>
      </c>
      <c r="G12" s="2"/>
      <c r="H12" s="2"/>
      <c r="I12" s="60" t="s">
        <v>139</v>
      </c>
      <c r="J12" s="62"/>
      <c r="K12" s="62">
        <v>6</v>
      </c>
      <c r="L12" s="62">
        <v>2</v>
      </c>
      <c r="M12" s="62">
        <v>8</v>
      </c>
    </row>
    <row r="13" spans="1:13" ht="15.75" customHeight="1" x14ac:dyDescent="0.35">
      <c r="A13" s="2"/>
      <c r="B13" s="11" t="s">
        <v>134</v>
      </c>
      <c r="C13" s="12" t="s">
        <v>83</v>
      </c>
      <c r="D13" s="12" t="s">
        <v>84</v>
      </c>
      <c r="E13" s="12" t="s">
        <v>135</v>
      </c>
      <c r="F13" s="45" t="s">
        <v>137</v>
      </c>
      <c r="G13" s="2"/>
      <c r="H13" s="2"/>
      <c r="I13" s="61" t="s">
        <v>80</v>
      </c>
      <c r="J13" s="62"/>
      <c r="K13" s="62">
        <v>1</v>
      </c>
      <c r="L13" s="62">
        <v>2</v>
      </c>
      <c r="M13" s="62">
        <v>3</v>
      </c>
    </row>
    <row r="14" spans="1:13" ht="15.75" customHeight="1" x14ac:dyDescent="0.35">
      <c r="A14" s="2"/>
      <c r="B14" s="11" t="s">
        <v>134</v>
      </c>
      <c r="C14" s="12" t="s">
        <v>83</v>
      </c>
      <c r="D14" s="12" t="s">
        <v>114</v>
      </c>
      <c r="E14" s="12" t="s">
        <v>135</v>
      </c>
      <c r="F14" s="45" t="s">
        <v>137</v>
      </c>
      <c r="G14" s="2"/>
      <c r="H14" s="2"/>
      <c r="I14" s="61" t="s">
        <v>144</v>
      </c>
      <c r="J14" s="62"/>
      <c r="K14" s="62">
        <v>1</v>
      </c>
      <c r="L14" s="62"/>
      <c r="M14" s="62">
        <v>1</v>
      </c>
    </row>
    <row r="15" spans="1:13" ht="15.75" customHeight="1" x14ac:dyDescent="0.35">
      <c r="A15" s="2"/>
      <c r="B15" s="11" t="s">
        <v>139</v>
      </c>
      <c r="C15" s="12" t="s">
        <v>80</v>
      </c>
      <c r="D15" s="12" t="s">
        <v>140</v>
      </c>
      <c r="E15" s="12" t="s">
        <v>135</v>
      </c>
      <c r="F15" s="45" t="s">
        <v>137</v>
      </c>
      <c r="G15" s="2"/>
      <c r="H15" s="2"/>
      <c r="I15" s="61" t="s">
        <v>141</v>
      </c>
      <c r="J15" s="62"/>
      <c r="K15" s="62">
        <v>2</v>
      </c>
      <c r="L15" s="62"/>
      <c r="M15" s="62">
        <v>2</v>
      </c>
    </row>
    <row r="16" spans="1:13" ht="15.75" customHeight="1" x14ac:dyDescent="0.35">
      <c r="A16" s="2"/>
      <c r="B16" s="11" t="s">
        <v>139</v>
      </c>
      <c r="C16" s="12" t="s">
        <v>83</v>
      </c>
      <c r="D16" s="12" t="s">
        <v>114</v>
      </c>
      <c r="E16" s="12" t="s">
        <v>135</v>
      </c>
      <c r="F16" s="45" t="s">
        <v>137</v>
      </c>
      <c r="G16" s="2"/>
      <c r="H16" s="2"/>
      <c r="I16" s="61" t="s">
        <v>83</v>
      </c>
      <c r="J16" s="62"/>
      <c r="K16" s="62">
        <v>2</v>
      </c>
      <c r="L16" s="62"/>
      <c r="M16" s="62">
        <v>2</v>
      </c>
    </row>
    <row r="17" spans="1:13" ht="15.75" customHeight="1" x14ac:dyDescent="0.35">
      <c r="A17" s="2"/>
      <c r="B17" s="11" t="s">
        <v>139</v>
      </c>
      <c r="C17" s="12" t="s">
        <v>83</v>
      </c>
      <c r="D17" s="12" t="s">
        <v>121</v>
      </c>
      <c r="E17" s="12" t="s">
        <v>135</v>
      </c>
      <c r="F17" s="45" t="s">
        <v>137</v>
      </c>
      <c r="G17" s="2"/>
      <c r="H17" s="2"/>
      <c r="I17" s="60" t="s">
        <v>134</v>
      </c>
      <c r="J17" s="62">
        <v>1</v>
      </c>
      <c r="K17" s="62">
        <v>7</v>
      </c>
      <c r="L17" s="62">
        <v>3</v>
      </c>
      <c r="M17" s="62">
        <v>11</v>
      </c>
    </row>
    <row r="18" spans="1:13" ht="15.75" customHeight="1" x14ac:dyDescent="0.35">
      <c r="A18" s="2"/>
      <c r="B18" s="11" t="s">
        <v>139</v>
      </c>
      <c r="C18" s="12" t="s">
        <v>141</v>
      </c>
      <c r="D18" s="12" t="s">
        <v>142</v>
      </c>
      <c r="E18" s="12" t="s">
        <v>135</v>
      </c>
      <c r="F18" s="45" t="s">
        <v>137</v>
      </c>
      <c r="G18" s="2"/>
      <c r="H18" s="2"/>
      <c r="I18" s="61" t="s">
        <v>77</v>
      </c>
      <c r="J18" s="62">
        <v>1</v>
      </c>
      <c r="K18" s="62"/>
      <c r="L18" s="62"/>
      <c r="M18" s="62">
        <v>1</v>
      </c>
    </row>
    <row r="19" spans="1:13" ht="15.75" customHeight="1" x14ac:dyDescent="0.35">
      <c r="A19" s="2"/>
      <c r="B19" s="11" t="s">
        <v>139</v>
      </c>
      <c r="C19" s="12" t="s">
        <v>141</v>
      </c>
      <c r="D19" s="12" t="s">
        <v>143</v>
      </c>
      <c r="E19" s="12" t="s">
        <v>135</v>
      </c>
      <c r="F19" s="45" t="s">
        <v>137</v>
      </c>
      <c r="G19" s="2"/>
      <c r="H19" s="2"/>
      <c r="I19" s="61" t="s">
        <v>66</v>
      </c>
      <c r="J19" s="62"/>
      <c r="K19" s="62">
        <v>1</v>
      </c>
      <c r="L19" s="62">
        <v>2</v>
      </c>
      <c r="M19" s="62">
        <v>3</v>
      </c>
    </row>
    <row r="20" spans="1:13" ht="15.75" customHeight="1" x14ac:dyDescent="0.35">
      <c r="A20" s="2"/>
      <c r="B20" s="11" t="s">
        <v>139</v>
      </c>
      <c r="C20" s="12" t="s">
        <v>80</v>
      </c>
      <c r="D20" s="12" t="s">
        <v>140</v>
      </c>
      <c r="E20" s="12" t="s">
        <v>135</v>
      </c>
      <c r="F20" s="45" t="s">
        <v>136</v>
      </c>
      <c r="G20" s="2"/>
      <c r="H20" s="2"/>
      <c r="I20" s="61" t="s">
        <v>80</v>
      </c>
      <c r="J20" s="62"/>
      <c r="K20" s="62">
        <v>1</v>
      </c>
      <c r="L20" s="62">
        <v>1</v>
      </c>
      <c r="M20" s="62">
        <v>2</v>
      </c>
    </row>
    <row r="21" spans="1:13" ht="15.75" customHeight="1" x14ac:dyDescent="0.35">
      <c r="A21" s="2"/>
      <c r="B21" s="11" t="s">
        <v>139</v>
      </c>
      <c r="C21" s="12" t="s">
        <v>144</v>
      </c>
      <c r="D21" s="12" t="s">
        <v>145</v>
      </c>
      <c r="E21" s="12" t="s">
        <v>135</v>
      </c>
      <c r="F21" s="45" t="s">
        <v>137</v>
      </c>
      <c r="G21" s="2"/>
      <c r="H21" s="2"/>
      <c r="I21" s="61" t="s">
        <v>74</v>
      </c>
      <c r="J21" s="62"/>
      <c r="K21" s="62">
        <v>1</v>
      </c>
      <c r="L21" s="62"/>
      <c r="M21" s="62">
        <v>1</v>
      </c>
    </row>
    <row r="22" spans="1:13" ht="15.75" customHeight="1" x14ac:dyDescent="0.35">
      <c r="A22" s="2"/>
      <c r="B22" s="11" t="s">
        <v>139</v>
      </c>
      <c r="C22" s="12" t="s">
        <v>80</v>
      </c>
      <c r="D22" s="12" t="s">
        <v>81</v>
      </c>
      <c r="E22" s="12" t="s">
        <v>135</v>
      </c>
      <c r="F22" s="45" t="s">
        <v>136</v>
      </c>
      <c r="G22" s="2"/>
      <c r="H22" s="2"/>
      <c r="I22" s="61" t="s">
        <v>83</v>
      </c>
      <c r="J22" s="62"/>
      <c r="K22" s="62">
        <v>4</v>
      </c>
      <c r="L22" s="62"/>
      <c r="M22" s="62">
        <v>4</v>
      </c>
    </row>
    <row r="23" spans="1:13" ht="15.75" customHeight="1" x14ac:dyDescent="0.25">
      <c r="I23" s="60" t="s">
        <v>146</v>
      </c>
      <c r="J23" s="62">
        <v>1</v>
      </c>
      <c r="K23" s="62">
        <v>13</v>
      </c>
      <c r="L23" s="62">
        <v>5</v>
      </c>
      <c r="M23" s="62">
        <v>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Q7</vt:lpstr>
      <vt:lpstr>Q2</vt:lpstr>
      <vt:lpstr>Q3</vt:lpstr>
      <vt:lpstr>Q4</vt:lpstr>
      <vt:lpstr>Q5</vt:lpstr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KETHEPALLI ESWAR</dc:creator>
  <cp:lastModifiedBy>sivag</cp:lastModifiedBy>
  <dcterms:created xsi:type="dcterms:W3CDTF">2025-11-10T17:18:56Z</dcterms:created>
  <dcterms:modified xsi:type="dcterms:W3CDTF">2025-11-10T17:31:16Z</dcterms:modified>
</cp:coreProperties>
</file>