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ivag\OneDrive\Desktop\"/>
    </mc:Choice>
  </mc:AlternateContent>
  <bookViews>
    <workbookView xWindow="0" yWindow="0" windowWidth="21600" windowHeight="10530" activeTab="3"/>
  </bookViews>
  <sheets>
    <sheet name="Q1" sheetId="1" r:id="rId1"/>
    <sheet name="Q2" sheetId="2" r:id="rId2"/>
    <sheet name="Q3" sheetId="3" r:id="rId3"/>
    <sheet name="Q4" sheetId="4" r:id="rId4"/>
  </sheets>
  <definedNames>
    <definedName name="_xlnm._FilterDatabase" localSheetId="0" hidden="1">'Q1'!$A$1:$H$136</definedName>
    <definedName name="_xlnm._FilterDatabase" localSheetId="1" hidden="1">'Q2'!$AH$3:$AW$138</definedName>
    <definedName name="_xlnm._FilterDatabase" localSheetId="2" hidden="1">'Q3'!$K$11:$K$216</definedName>
    <definedName name="_xlnm._FilterDatabase" localSheetId="3" hidden="1">'Q4'!$AO$16:$AO$87</definedName>
  </definedNames>
  <calcPr calcId="162913"/>
  <pivotCaches>
    <pivotCache cacheId="2" r:id="rId5"/>
    <pivotCache cacheId="3" r:id="rId6"/>
    <pivotCache cacheId="14" r:id="rId7"/>
  </pivotCaches>
  <fileRecoveryPr repairLoad="1"/>
</workbook>
</file>

<file path=xl/calcChain.xml><?xml version="1.0" encoding="utf-8"?>
<calcChain xmlns="http://schemas.openxmlformats.org/spreadsheetml/2006/main">
  <c r="AO18" i="4" l="1"/>
  <c r="AO19" i="4"/>
  <c r="AO20" i="4"/>
  <c r="AO21" i="4"/>
  <c r="AO22" i="4"/>
  <c r="AO23" i="4"/>
  <c r="AO24" i="4"/>
  <c r="AO25" i="4"/>
  <c r="AO26" i="4"/>
  <c r="AO27" i="4"/>
  <c r="AO28" i="4"/>
  <c r="AO29" i="4"/>
  <c r="AO30" i="4"/>
  <c r="AO31" i="4"/>
  <c r="AO32" i="4"/>
  <c r="AO33" i="4"/>
  <c r="AO34" i="4"/>
  <c r="AO35" i="4"/>
  <c r="AO36" i="4"/>
  <c r="AO37" i="4"/>
  <c r="AO38" i="4"/>
  <c r="AO39" i="4"/>
  <c r="AO40" i="4"/>
  <c r="AO41" i="4"/>
  <c r="AO42" i="4"/>
  <c r="AO43" i="4"/>
  <c r="AO44" i="4"/>
  <c r="AO45" i="4"/>
  <c r="AO46" i="4"/>
  <c r="AO47" i="4"/>
  <c r="AO48" i="4"/>
  <c r="AO49" i="4"/>
  <c r="AO50" i="4"/>
  <c r="AO51" i="4"/>
  <c r="AO52" i="4"/>
  <c r="AO53" i="4"/>
  <c r="AO54" i="4"/>
  <c r="AO55" i="4"/>
  <c r="AO56" i="4"/>
  <c r="AO57" i="4"/>
  <c r="AO58" i="4"/>
  <c r="AO59" i="4"/>
  <c r="AO60" i="4"/>
  <c r="AO61" i="4"/>
  <c r="AO62" i="4"/>
  <c r="AO63" i="4"/>
  <c r="AO64" i="4"/>
  <c r="AO65" i="4"/>
  <c r="AO66" i="4"/>
  <c r="AO67" i="4"/>
  <c r="AO68" i="4"/>
  <c r="AO69" i="4"/>
  <c r="AO70" i="4"/>
  <c r="AO71" i="4"/>
  <c r="AO72" i="4"/>
  <c r="AO73" i="4"/>
  <c r="AO74" i="4"/>
  <c r="AO75" i="4"/>
  <c r="AO76" i="4"/>
  <c r="AO77" i="4"/>
  <c r="AO78" i="4"/>
  <c r="AO79" i="4"/>
  <c r="AO80" i="4"/>
  <c r="AO81" i="4"/>
  <c r="AO82" i="4"/>
  <c r="AO83" i="4"/>
  <c r="AO84" i="4"/>
  <c r="AO85" i="4"/>
  <c r="AO86" i="4"/>
  <c r="AO87" i="4"/>
  <c r="AO17" i="4"/>
  <c r="BB9" i="2" l="1"/>
  <c r="BB10" i="2"/>
  <c r="BB11" i="2"/>
  <c r="BB12" i="2"/>
  <c r="BB13" i="2"/>
  <c r="BB14" i="2"/>
  <c r="BB15" i="2"/>
  <c r="BB16" i="2"/>
  <c r="BB17" i="2"/>
  <c r="BB18" i="2"/>
  <c r="BB19" i="2"/>
  <c r="BB20" i="2"/>
  <c r="BB21" i="2"/>
  <c r="BB22" i="2"/>
  <c r="BB23" i="2"/>
  <c r="BB24" i="2"/>
  <c r="BB25" i="2"/>
  <c r="BB26" i="2"/>
  <c r="BB27" i="2"/>
  <c r="BB28" i="2"/>
  <c r="BB29" i="2"/>
  <c r="BB30" i="2"/>
  <c r="BB31" i="2"/>
  <c r="BB32" i="2"/>
  <c r="BB33" i="2"/>
  <c r="BB34" i="2"/>
  <c r="BB35" i="2"/>
  <c r="BB36" i="2"/>
  <c r="BB37" i="2"/>
  <c r="BB38" i="2"/>
  <c r="BB39" i="2"/>
  <c r="BB40" i="2"/>
  <c r="BB41" i="2"/>
  <c r="BB42" i="2"/>
  <c r="BB43" i="2"/>
  <c r="BB44" i="2"/>
  <c r="BB45" i="2"/>
  <c r="BB46" i="2"/>
  <c r="BB47" i="2"/>
  <c r="BB48" i="2"/>
  <c r="BB49" i="2"/>
  <c r="BB50" i="2"/>
  <c r="BB51" i="2"/>
  <c r="BB52" i="2"/>
  <c r="BB53" i="2"/>
  <c r="BB54" i="2"/>
  <c r="BB55" i="2"/>
  <c r="BB56" i="2"/>
  <c r="BB57" i="2"/>
  <c r="BB58" i="2"/>
  <c r="BB59" i="2"/>
  <c r="BB60" i="2"/>
  <c r="BB61" i="2"/>
  <c r="BB62" i="2"/>
  <c r="BB63" i="2"/>
  <c r="BB64" i="2"/>
  <c r="BB65" i="2"/>
  <c r="BB66" i="2"/>
  <c r="BB67" i="2"/>
  <c r="BB68" i="2"/>
  <c r="BB69" i="2"/>
  <c r="BB70" i="2"/>
  <c r="BB71" i="2"/>
  <c r="BB72" i="2"/>
  <c r="BB73" i="2"/>
  <c r="BB74" i="2"/>
  <c r="BB75" i="2"/>
  <c r="BB76" i="2"/>
  <c r="BB77" i="2"/>
  <c r="BB78" i="2"/>
  <c r="BB79" i="2"/>
  <c r="BB80" i="2"/>
  <c r="BB81" i="2"/>
  <c r="BB82" i="2"/>
  <c r="BB83" i="2"/>
  <c r="BB84" i="2"/>
  <c r="BB85" i="2"/>
  <c r="BB86" i="2"/>
  <c r="BB87" i="2"/>
  <c r="BB88" i="2"/>
  <c r="BB89" i="2"/>
  <c r="BB90" i="2"/>
  <c r="BB91" i="2"/>
  <c r="BB92" i="2"/>
  <c r="BB93" i="2"/>
  <c r="BB94" i="2"/>
  <c r="BB95" i="2"/>
  <c r="BB96" i="2"/>
  <c r="BB97" i="2"/>
  <c r="BB98" i="2"/>
  <c r="BB99" i="2"/>
  <c r="BB100" i="2"/>
  <c r="BB101" i="2"/>
  <c r="BB102" i="2"/>
  <c r="BB103" i="2"/>
  <c r="BB104" i="2"/>
  <c r="BB105" i="2"/>
  <c r="BB106" i="2"/>
  <c r="BB107" i="2"/>
  <c r="BB108" i="2"/>
  <c r="BB109" i="2"/>
  <c r="BB110" i="2"/>
  <c r="BB111" i="2"/>
  <c r="BB112" i="2"/>
  <c r="BB113" i="2"/>
  <c r="BB114" i="2"/>
  <c r="BB115" i="2"/>
  <c r="BB116" i="2"/>
  <c r="BB117" i="2"/>
  <c r="BB118" i="2"/>
  <c r="BB119" i="2"/>
  <c r="BB120" i="2"/>
  <c r="BB121" i="2"/>
  <c r="BB122" i="2"/>
  <c r="BB123" i="2"/>
  <c r="BB124" i="2"/>
  <c r="BB125" i="2"/>
  <c r="BB126" i="2"/>
  <c r="BB127" i="2"/>
  <c r="BB128" i="2"/>
  <c r="BB129" i="2"/>
  <c r="BB130" i="2"/>
  <c r="BB131" i="2"/>
  <c r="BB132" i="2"/>
  <c r="BB133" i="2"/>
  <c r="BB134" i="2"/>
  <c r="BB135" i="2"/>
  <c r="BB136" i="2"/>
  <c r="BB137" i="2"/>
  <c r="BB138" i="2"/>
  <c r="BB139" i="2"/>
  <c r="BB140" i="2"/>
  <c r="BB141" i="2"/>
  <c r="BB142" i="2"/>
  <c r="BB8" i="2"/>
  <c r="AN5" i="2"/>
  <c r="AN6" i="2"/>
  <c r="AN7" i="2"/>
  <c r="AN8" i="2"/>
  <c r="AN9" i="2"/>
  <c r="AN10" i="2"/>
  <c r="AN11" i="2"/>
  <c r="AN12" i="2"/>
  <c r="AN13" i="2"/>
  <c r="AN14" i="2"/>
  <c r="AN15" i="2"/>
  <c r="AN16" i="2"/>
  <c r="AN17" i="2"/>
  <c r="AN18" i="2"/>
  <c r="AN19" i="2"/>
  <c r="AN20" i="2"/>
  <c r="AN21" i="2"/>
  <c r="AN22" i="2"/>
  <c r="AN23" i="2"/>
  <c r="AN24" i="2"/>
  <c r="AN25" i="2"/>
  <c r="AN26" i="2"/>
  <c r="AN27" i="2"/>
  <c r="AN28" i="2"/>
  <c r="AN29" i="2"/>
  <c r="AN30" i="2"/>
  <c r="AN31" i="2"/>
  <c r="AN32" i="2"/>
  <c r="AN33" i="2"/>
  <c r="AN34" i="2"/>
  <c r="AN35" i="2"/>
  <c r="AN36" i="2"/>
  <c r="AN37" i="2"/>
  <c r="AN38" i="2"/>
  <c r="AN39" i="2"/>
  <c r="AN40" i="2"/>
  <c r="AN41" i="2"/>
  <c r="AN42" i="2"/>
  <c r="AN43" i="2"/>
  <c r="AN44" i="2"/>
  <c r="AN45" i="2"/>
  <c r="AN46" i="2"/>
  <c r="AN47" i="2"/>
  <c r="AN48" i="2"/>
  <c r="AN49" i="2"/>
  <c r="AN50" i="2"/>
  <c r="AN51" i="2"/>
  <c r="AN52" i="2"/>
  <c r="AN53" i="2"/>
  <c r="AN54" i="2"/>
  <c r="AN55" i="2"/>
  <c r="AN56" i="2"/>
  <c r="AN57" i="2"/>
  <c r="AN58" i="2"/>
  <c r="AN59" i="2"/>
  <c r="AN60" i="2"/>
  <c r="AN61" i="2"/>
  <c r="AN62" i="2"/>
  <c r="AN63" i="2"/>
  <c r="AN64" i="2"/>
  <c r="AN65" i="2"/>
  <c r="AN66" i="2"/>
  <c r="AN67" i="2"/>
  <c r="AN68" i="2"/>
  <c r="AN69" i="2"/>
  <c r="AN70" i="2"/>
  <c r="AN71" i="2"/>
  <c r="AN72" i="2"/>
  <c r="AN73" i="2"/>
  <c r="AN74" i="2"/>
  <c r="AN75" i="2"/>
  <c r="AN76" i="2"/>
  <c r="AN77" i="2"/>
  <c r="AN78" i="2"/>
  <c r="AN79" i="2"/>
  <c r="AN80" i="2"/>
  <c r="AN81" i="2"/>
  <c r="AN82" i="2"/>
  <c r="AN83" i="2"/>
  <c r="AN84" i="2"/>
  <c r="AN85" i="2"/>
  <c r="AN86" i="2"/>
  <c r="AN87" i="2"/>
  <c r="AN88" i="2"/>
  <c r="AN89" i="2"/>
  <c r="AN90" i="2"/>
  <c r="AN91" i="2"/>
  <c r="AN92" i="2"/>
  <c r="AN93" i="2"/>
  <c r="AN94" i="2"/>
  <c r="AN95" i="2"/>
  <c r="AN96" i="2"/>
  <c r="AN97" i="2"/>
  <c r="AN98" i="2"/>
  <c r="AN99" i="2"/>
  <c r="AN100" i="2"/>
  <c r="AN101" i="2"/>
  <c r="AN102" i="2"/>
  <c r="AN103" i="2"/>
  <c r="AN104" i="2"/>
  <c r="AN105" i="2"/>
  <c r="AN106" i="2"/>
  <c r="AN107" i="2"/>
  <c r="AN108" i="2"/>
  <c r="AN109" i="2"/>
  <c r="AN110" i="2"/>
  <c r="AN111" i="2"/>
  <c r="AN112" i="2"/>
  <c r="AN113" i="2"/>
  <c r="AN114" i="2"/>
  <c r="AN115" i="2"/>
  <c r="AN116" i="2"/>
  <c r="AN117" i="2"/>
  <c r="AN118" i="2"/>
  <c r="AN119" i="2"/>
  <c r="AN120" i="2"/>
  <c r="AN121" i="2"/>
  <c r="AN122" i="2"/>
  <c r="AN123" i="2"/>
  <c r="AN124" i="2"/>
  <c r="AN125" i="2"/>
  <c r="AN126" i="2"/>
  <c r="AN127" i="2"/>
  <c r="AN128" i="2"/>
  <c r="AN129" i="2"/>
  <c r="AN130" i="2"/>
  <c r="AN131" i="2"/>
  <c r="AN132" i="2"/>
  <c r="AN133" i="2"/>
  <c r="AN134" i="2"/>
  <c r="AN135" i="2"/>
  <c r="AN136" i="2"/>
  <c r="AN137" i="2"/>
  <c r="AN138" i="2"/>
  <c r="AN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37" i="2"/>
  <c r="AI38" i="2"/>
  <c r="AI39" i="2"/>
  <c r="AI40" i="2"/>
  <c r="AI41" i="2"/>
  <c r="AI42" i="2"/>
  <c r="AI43" i="2"/>
  <c r="AI44" i="2"/>
  <c r="AI45" i="2"/>
  <c r="AI46" i="2"/>
  <c r="AI47" i="2"/>
  <c r="AI48" i="2"/>
  <c r="AI49" i="2"/>
  <c r="AI50" i="2"/>
  <c r="AI51" i="2"/>
  <c r="AI52" i="2"/>
  <c r="AI53" i="2"/>
  <c r="AI54" i="2"/>
  <c r="AI55" i="2"/>
  <c r="AI56" i="2"/>
  <c r="AI57" i="2"/>
  <c r="AI58" i="2"/>
  <c r="AI59" i="2"/>
  <c r="AI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4" i="2"/>
</calcChain>
</file>

<file path=xl/sharedStrings.xml><?xml version="1.0" encoding="utf-8"?>
<sst xmlns="http://schemas.openxmlformats.org/spreadsheetml/2006/main" count="5130" uniqueCount="344">
  <si>
    <t>Date</t>
  </si>
  <si>
    <t>Product</t>
  </si>
  <si>
    <t>Region</t>
  </si>
  <si>
    <t>SalesRep</t>
  </si>
  <si>
    <t>Customer</t>
  </si>
  <si>
    <t>Units</t>
  </si>
  <si>
    <t>sales</t>
  </si>
  <si>
    <t>Discount</t>
  </si>
  <si>
    <t>Carlota</t>
  </si>
  <si>
    <t>East</t>
  </si>
  <si>
    <t>Pham</t>
  </si>
  <si>
    <t>AA</t>
  </si>
  <si>
    <t>Quad</t>
  </si>
  <si>
    <t>Sioux</t>
  </si>
  <si>
    <t>Sunshine</t>
  </si>
  <si>
    <t>Franks</t>
  </si>
  <si>
    <t>Bellen</t>
  </si>
  <si>
    <t>Chin</t>
  </si>
  <si>
    <t>AST</t>
  </si>
  <si>
    <t>West</t>
  </si>
  <si>
    <t>Sunset</t>
  </si>
  <si>
    <t>Gault</t>
  </si>
  <si>
    <t>MidWest</t>
  </si>
  <si>
    <t>BBT</t>
  </si>
  <si>
    <t>Smith</t>
  </si>
  <si>
    <t>DFGH</t>
  </si>
  <si>
    <t>South</t>
  </si>
  <si>
    <t>DFR</t>
  </si>
  <si>
    <t>EPP</t>
  </si>
  <si>
    <t>ET</t>
  </si>
  <si>
    <t>FM</t>
  </si>
  <si>
    <t>FRED</t>
  </si>
  <si>
    <t>HHH</t>
  </si>
  <si>
    <t>HII</t>
  </si>
  <si>
    <t>ITTW</t>
  </si>
  <si>
    <t>ITW</t>
  </si>
  <si>
    <t>JAQ</t>
  </si>
  <si>
    <t>KBTB</t>
  </si>
  <si>
    <t>KPSA</t>
  </si>
  <si>
    <t>LOP</t>
  </si>
  <si>
    <t>MBG</t>
  </si>
  <si>
    <t>MNGD</t>
  </si>
  <si>
    <t>PCC</t>
  </si>
  <si>
    <t>PLOT</t>
  </si>
  <si>
    <t>PSA</t>
  </si>
  <si>
    <t>QT</t>
  </si>
  <si>
    <t>SFWK</t>
  </si>
  <si>
    <t>T</t>
  </si>
  <si>
    <t>TRU</t>
  </si>
  <si>
    <t>TTT</t>
  </si>
  <si>
    <t>WSD</t>
  </si>
  <si>
    <t>WT</t>
  </si>
  <si>
    <t>YTR</t>
  </si>
  <si>
    <t>ZAT</t>
  </si>
  <si>
    <t>Sales</t>
  </si>
  <si>
    <t>Nationality</t>
  </si>
  <si>
    <t>test1</t>
  </si>
  <si>
    <t>test2</t>
  </si>
  <si>
    <t>test3</t>
  </si>
  <si>
    <t>test4</t>
  </si>
  <si>
    <t>Total</t>
  </si>
  <si>
    <t>Gender</t>
  </si>
  <si>
    <t>Class III Questions</t>
  </si>
  <si>
    <t>Indian</t>
  </si>
  <si>
    <t>Anirudh</t>
  </si>
  <si>
    <t>M</t>
  </si>
  <si>
    <t>Abishek</t>
  </si>
  <si>
    <t>1) Summarize the following</t>
  </si>
  <si>
    <t>RAGHAV</t>
  </si>
  <si>
    <t>a) Gender wise and Nationality wise average marks.</t>
  </si>
  <si>
    <t>SEETHA</t>
  </si>
  <si>
    <t>F</t>
  </si>
  <si>
    <t>a) Region and gender wise minimum and maximum sales.</t>
  </si>
  <si>
    <t>Kavitha</t>
  </si>
  <si>
    <t>2) Create data for male customers.</t>
  </si>
  <si>
    <t>3) Highlight the total marks that are greater than 350 with blue text and yellow background.</t>
  </si>
  <si>
    <t>4) Sort the data by salesrep and by customer and by product.</t>
  </si>
  <si>
    <t>Santhosh</t>
  </si>
  <si>
    <t>5) List the unique names of the customers.</t>
  </si>
  <si>
    <t>6) Convert the customer names into proper case and product into upper case.</t>
  </si>
  <si>
    <t>Yasvanth</t>
  </si>
  <si>
    <t>7) Find out the following</t>
  </si>
  <si>
    <t>a) Minimum and maximum total marks.</t>
  </si>
  <si>
    <t>Foreigner</t>
  </si>
  <si>
    <t>b) Length of the customer names.</t>
  </si>
  <si>
    <t>d) 2nd highest and 3rd lowest total marks</t>
  </si>
  <si>
    <t>10) Create charts for the following</t>
  </si>
  <si>
    <t>a) Gender Wise Grade wise average marks.</t>
  </si>
  <si>
    <t>b) Nationality and product wise maximum sales.</t>
  </si>
  <si>
    <t>Fred</t>
  </si>
  <si>
    <t>Jo</t>
  </si>
  <si>
    <r>
      <rPr>
        <sz val="11"/>
        <rFont val="Calibri"/>
        <family val="2"/>
      </rPr>
      <t xml:space="preserve">1)Sort the data by </t>
    </r>
    <r>
      <rPr>
        <b/>
        <sz val="11"/>
        <color rgb="FF000000"/>
        <rFont val="Calibri"/>
        <family val="2"/>
      </rPr>
      <t>Date</t>
    </r>
    <r>
      <rPr>
        <sz val="11"/>
        <color rgb="FF000000"/>
        <rFont val="Calibri"/>
        <family val="2"/>
      </rPr>
      <t xml:space="preserve"> from earliest to latest</t>
    </r>
  </si>
  <si>
    <r>
      <rPr>
        <sz val="11"/>
        <rFont val="Calibri"/>
        <family val="2"/>
      </rPr>
      <t xml:space="preserve">What is the </t>
    </r>
    <r>
      <rPr>
        <b/>
        <sz val="11"/>
        <color rgb="FF000000"/>
        <rFont val="Calibri"/>
        <family val="2"/>
      </rPr>
      <t>first</t>
    </r>
    <r>
      <rPr>
        <sz val="11"/>
        <color rgb="FF000000"/>
        <rFont val="Calibri"/>
        <family val="2"/>
      </rPr>
      <t xml:space="preserve"> date and who made the sale?</t>
    </r>
  </si>
  <si>
    <t>Joe</t>
  </si>
  <si>
    <t>2)Sort the data by Sales amount from highest to lowest.</t>
  </si>
  <si>
    <t>Sue</t>
  </si>
  <si>
    <r>
      <rPr>
        <sz val="11"/>
        <rFont val="Calibri"/>
        <family val="2"/>
      </rPr>
      <t xml:space="preserve">What is the </t>
    </r>
    <r>
      <rPr>
        <b/>
        <sz val="11"/>
        <color rgb="FF000000"/>
        <rFont val="Calibri"/>
        <family val="2"/>
      </rPr>
      <t>highest</t>
    </r>
    <r>
      <rPr>
        <sz val="11"/>
        <color rgb="FF000000"/>
        <rFont val="Calibri"/>
        <family val="2"/>
      </rPr>
      <t xml:space="preserve"> sale amount, and who made it?</t>
    </r>
  </si>
  <si>
    <t>3) Sort the data alphabetically by SalesRep.</t>
  </si>
  <si>
    <r>
      <rPr>
        <sz val="11"/>
        <rFont val="Calibri"/>
        <family val="2"/>
      </rPr>
      <t xml:space="preserve">Which </t>
    </r>
    <r>
      <rPr>
        <b/>
        <sz val="11"/>
        <color rgb="FF000000"/>
        <rFont val="Calibri"/>
        <family val="2"/>
      </rPr>
      <t>SalesRep</t>
    </r>
    <r>
      <rPr>
        <sz val="11"/>
        <color rgb="FF000000"/>
        <rFont val="Calibri"/>
        <family val="2"/>
      </rPr>
      <t xml:space="preserve"> comes </t>
    </r>
    <r>
      <rPr>
        <b/>
        <sz val="11"/>
        <color rgb="FF000000"/>
        <rFont val="Calibri"/>
        <family val="2"/>
      </rPr>
      <t>first</t>
    </r>
    <r>
      <rPr>
        <sz val="11"/>
        <color rgb="FF000000"/>
        <rFont val="Calibri"/>
        <family val="2"/>
      </rPr>
      <t>?</t>
    </r>
  </si>
  <si>
    <t>MovieName</t>
  </si>
  <si>
    <t>Actor</t>
  </si>
  <si>
    <t>Actress</t>
  </si>
  <si>
    <t>Amount (cr)</t>
  </si>
  <si>
    <t>Rating</t>
  </si>
  <si>
    <t>OTT</t>
  </si>
  <si>
    <t>Type</t>
  </si>
  <si>
    <t>Status</t>
  </si>
  <si>
    <t>Run_Days</t>
  </si>
  <si>
    <t>Director</t>
  </si>
  <si>
    <t>Langauges</t>
  </si>
  <si>
    <t>9) . Directors</t>
  </si>
  <si>
    <t>10 ans) SNI</t>
  </si>
  <si>
    <t>Movie 1</t>
  </si>
  <si>
    <t>MB</t>
  </si>
  <si>
    <t>SP</t>
  </si>
  <si>
    <t>Amazon Prime</t>
  </si>
  <si>
    <t>Horror</t>
  </si>
  <si>
    <t>Hit</t>
  </si>
  <si>
    <t>Sukumar</t>
  </si>
  <si>
    <t>English</t>
  </si>
  <si>
    <t>Blockbuster</t>
  </si>
  <si>
    <t>Q1</t>
  </si>
  <si>
    <t>Total number of movies released in each language</t>
  </si>
  <si>
    <t>Movie2</t>
  </si>
  <si>
    <t>PK</t>
  </si>
  <si>
    <t>AS</t>
  </si>
  <si>
    <t>Aha</t>
  </si>
  <si>
    <t>Thriller</t>
  </si>
  <si>
    <t>Flop</t>
  </si>
  <si>
    <t>Rajamouli</t>
  </si>
  <si>
    <t>Tamil</t>
  </si>
  <si>
    <t>Q2</t>
  </si>
  <si>
    <t>Fetch the data of flop movies of Trivikram</t>
  </si>
  <si>
    <t>Movie 3</t>
  </si>
  <si>
    <t>CH</t>
  </si>
  <si>
    <t>TK</t>
  </si>
  <si>
    <t>Netflix</t>
  </si>
  <si>
    <t>Family</t>
  </si>
  <si>
    <t>SuperHit</t>
  </si>
  <si>
    <t>TRIVIKRAM</t>
  </si>
  <si>
    <t>Hindi</t>
  </si>
  <si>
    <t>Trivikram</t>
  </si>
  <si>
    <t>Not Successful</t>
  </si>
  <si>
    <t>Q3</t>
  </si>
  <si>
    <t>Actor wise Average movie rating</t>
  </si>
  <si>
    <t>Movie 4</t>
  </si>
  <si>
    <t>RK</t>
  </si>
  <si>
    <t>ZEE</t>
  </si>
  <si>
    <t>Comedy</t>
  </si>
  <si>
    <t>Maruthi</t>
  </si>
  <si>
    <t>Q4</t>
  </si>
  <si>
    <t>Number of movies released on each OTT by Language</t>
  </si>
  <si>
    <t>Movie 5</t>
  </si>
  <si>
    <t>VJ</t>
  </si>
  <si>
    <t>AP</t>
  </si>
  <si>
    <t>HotStar</t>
  </si>
  <si>
    <t>Adv</t>
  </si>
  <si>
    <t>RGV</t>
  </si>
  <si>
    <t>Rgv</t>
  </si>
  <si>
    <t>Q5</t>
  </si>
  <si>
    <t>Total Amount received for the movie for each director and Actor</t>
  </si>
  <si>
    <t>Movie 6</t>
  </si>
  <si>
    <t>NT</t>
  </si>
  <si>
    <t>SunNext</t>
  </si>
  <si>
    <t>Action</t>
  </si>
  <si>
    <t>Puri</t>
  </si>
  <si>
    <t>Q6</t>
  </si>
  <si>
    <t>Highlight the Top 5 highest amount received for the movie</t>
  </si>
  <si>
    <t>Movie 7</t>
  </si>
  <si>
    <t>BioPic</t>
  </si>
  <si>
    <t>Kannada</t>
  </si>
  <si>
    <t>Average</t>
  </si>
  <si>
    <t>Q7</t>
  </si>
  <si>
    <t>Sort the data based on Amount</t>
  </si>
  <si>
    <t>Movie 8</t>
  </si>
  <si>
    <t>NK</t>
  </si>
  <si>
    <t>Q8</t>
  </si>
  <si>
    <t>Replace SP with AS in Actress column</t>
  </si>
  <si>
    <t>Movie 9</t>
  </si>
  <si>
    <t>RAM</t>
  </si>
  <si>
    <t>Movie 10</t>
  </si>
  <si>
    <t>NTR</t>
  </si>
  <si>
    <t>Movie 11</t>
  </si>
  <si>
    <t>Movie 12</t>
  </si>
  <si>
    <t>Movie 13</t>
  </si>
  <si>
    <t>SRP</t>
  </si>
  <si>
    <t>null</t>
  </si>
  <si>
    <t>Movie 14</t>
  </si>
  <si>
    <t>NANI</t>
  </si>
  <si>
    <t>Movie 15</t>
  </si>
  <si>
    <t>Movie 16</t>
  </si>
  <si>
    <t>Atli</t>
  </si>
  <si>
    <t>Movie 17</t>
  </si>
  <si>
    <t>Movie 18</t>
  </si>
  <si>
    <t>Shankar</t>
  </si>
  <si>
    <t>Movie 19</t>
  </si>
  <si>
    <t>Movie 20</t>
  </si>
  <si>
    <t>Movie 21</t>
  </si>
  <si>
    <t>Movie 22</t>
  </si>
  <si>
    <t>TeleGram</t>
  </si>
  <si>
    <t>Movie 23</t>
  </si>
  <si>
    <t>Youtube</t>
  </si>
  <si>
    <t>Movie 24</t>
  </si>
  <si>
    <t>Raghava</t>
  </si>
  <si>
    <t>Malayalam</t>
  </si>
  <si>
    <t>Movie 25</t>
  </si>
  <si>
    <t>Sekar kammula</t>
  </si>
  <si>
    <t>Sekar Kammula</t>
  </si>
  <si>
    <t>Movie 26</t>
  </si>
  <si>
    <t>Movie 27</t>
  </si>
  <si>
    <t>Movie 28</t>
  </si>
  <si>
    <t>Telugu</t>
  </si>
  <si>
    <t>Movie 29</t>
  </si>
  <si>
    <t>Movie 30</t>
  </si>
  <si>
    <t>ThopTV</t>
  </si>
  <si>
    <t>Movie 31</t>
  </si>
  <si>
    <t>Movie 32</t>
  </si>
  <si>
    <t>Movie 33</t>
  </si>
  <si>
    <t>Movie 34</t>
  </si>
  <si>
    <t>Movie 35</t>
  </si>
  <si>
    <t>Korean</t>
  </si>
  <si>
    <t>Movie 36</t>
  </si>
  <si>
    <t>Movie 37</t>
  </si>
  <si>
    <t>Movie 38</t>
  </si>
  <si>
    <t>Movie 39</t>
  </si>
  <si>
    <t>Movie 40</t>
  </si>
  <si>
    <t>Movie 41</t>
  </si>
  <si>
    <t>Movie 42</t>
  </si>
  <si>
    <t>Japanese</t>
  </si>
  <si>
    <t>Movie 43</t>
  </si>
  <si>
    <t>Movie 44</t>
  </si>
  <si>
    <t>Movie 45</t>
  </si>
  <si>
    <t>Movie 46</t>
  </si>
  <si>
    <t>Movie 47</t>
  </si>
  <si>
    <t>Movie 48</t>
  </si>
  <si>
    <t>Movie 49</t>
  </si>
  <si>
    <t>PRABAS</t>
  </si>
  <si>
    <t>Movie 50</t>
  </si>
  <si>
    <t>Movie 51</t>
  </si>
  <si>
    <t>Movie 52</t>
  </si>
  <si>
    <t>Movie 53</t>
  </si>
  <si>
    <t>Movie 54</t>
  </si>
  <si>
    <t>Movie 55</t>
  </si>
  <si>
    <t>Movie 56</t>
  </si>
  <si>
    <t>Movie 57</t>
  </si>
  <si>
    <t>Movie 58</t>
  </si>
  <si>
    <t>Movie 59</t>
  </si>
  <si>
    <t>Movie 60</t>
  </si>
  <si>
    <t>Movie 61</t>
  </si>
  <si>
    <t>Movie 62</t>
  </si>
  <si>
    <t>Movie 63</t>
  </si>
  <si>
    <t>Movie 64</t>
  </si>
  <si>
    <t>Movie 65</t>
  </si>
  <si>
    <t>Movie 66</t>
  </si>
  <si>
    <t>RT</t>
  </si>
  <si>
    <t>Movie 67</t>
  </si>
  <si>
    <t>Movie 68</t>
  </si>
  <si>
    <t>Movie 69</t>
  </si>
  <si>
    <t>Movie 70</t>
  </si>
  <si>
    <t>Movie 71</t>
  </si>
  <si>
    <t>Row Labels</t>
  </si>
  <si>
    <t>Grand Total</t>
  </si>
  <si>
    <t>Sum of sales</t>
  </si>
  <si>
    <t>Max of sales</t>
  </si>
  <si>
    <t>Sum of Discount</t>
  </si>
  <si>
    <t>Average of Discount</t>
  </si>
  <si>
    <t>Column Labels</t>
  </si>
  <si>
    <t>Jan</t>
  </si>
  <si>
    <t>01-Jan</t>
  </si>
  <si>
    <t>10-Jan</t>
  </si>
  <si>
    <t>18-Jan</t>
  </si>
  <si>
    <t>02-Jan</t>
  </si>
  <si>
    <t>15-Jan</t>
  </si>
  <si>
    <t>22-Jan</t>
  </si>
  <si>
    <t>29-Jan</t>
  </si>
  <si>
    <t>04-Jan</t>
  </si>
  <si>
    <t>11-Jan</t>
  </si>
  <si>
    <t>24-Jan</t>
  </si>
  <si>
    <t>23-Jan</t>
  </si>
  <si>
    <t>26-Jan</t>
  </si>
  <si>
    <t>21-Jan</t>
  </si>
  <si>
    <t>30-Jan</t>
  </si>
  <si>
    <t>09-Jan</t>
  </si>
  <si>
    <t>17-Jan</t>
  </si>
  <si>
    <t>05-Jan</t>
  </si>
  <si>
    <t>20-Jan</t>
  </si>
  <si>
    <t>03-Jan</t>
  </si>
  <si>
    <t>13-Jan</t>
  </si>
  <si>
    <t>28-Jan</t>
  </si>
  <si>
    <t>07-Jan</t>
  </si>
  <si>
    <t>08-Jan</t>
  </si>
  <si>
    <t>12-Jan</t>
  </si>
  <si>
    <t>14-Jan</t>
  </si>
  <si>
    <t>25-Jan</t>
  </si>
  <si>
    <t>06-Jan</t>
  </si>
  <si>
    <t>16-Jan</t>
  </si>
  <si>
    <t>27-Jan</t>
  </si>
  <si>
    <t>19-Jan</t>
  </si>
  <si>
    <t>Bel</t>
  </si>
  <si>
    <t>len</t>
  </si>
  <si>
    <t>Car</t>
  </si>
  <si>
    <t>lota</t>
  </si>
  <si>
    <t>Qua</t>
  </si>
  <si>
    <t>d</t>
  </si>
  <si>
    <t>Sun</t>
  </si>
  <si>
    <t>set</t>
  </si>
  <si>
    <t>shine</t>
  </si>
  <si>
    <t>9a</t>
  </si>
  <si>
    <t>Sum of Units</t>
  </si>
  <si>
    <t>Average of Units</t>
  </si>
  <si>
    <t>9b</t>
  </si>
  <si>
    <t>Min of sales</t>
  </si>
  <si>
    <t>Class II Questions
1) Product and region wise maximum sales.
2) Region wise percentage and average discount.
3) Copy the data whose sales are greater than 1000 and discount less than 500.
4) Copy the data whose region is East.
5) Split the product column by starting 3 letters.
6) Highlight the units greater than 20 and less than 50.
7) Create data for January date.
8)Replace RAM with RAM in Customer column.
9) Create charts for the following.
a) Average Units by Customer and by SalesRip. 
b) Percentage of Discount by Region.
c) Minimum and maximum Sales by Product and Customer.
10) Calculate the total for for Sales and Units</t>
  </si>
  <si>
    <t>9c</t>
  </si>
  <si>
    <t>Average of Total</t>
  </si>
  <si>
    <t>Min of Sales</t>
  </si>
  <si>
    <t>Max of Sales</t>
  </si>
  <si>
    <t>3)</t>
  </si>
  <si>
    <t>2)</t>
  </si>
  <si>
    <t>1)</t>
  </si>
  <si>
    <t>4)</t>
  </si>
  <si>
    <t>5)</t>
  </si>
  <si>
    <t>1b)</t>
  </si>
  <si>
    <t>6)</t>
  </si>
  <si>
    <t>Customers</t>
  </si>
  <si>
    <t>Nationality &amp; Gender</t>
  </si>
  <si>
    <t>Total Marks</t>
  </si>
  <si>
    <t>Unique_Names</t>
  </si>
  <si>
    <t>7a</t>
  </si>
  <si>
    <t>Min of Total</t>
  </si>
  <si>
    <t>Max of Total</t>
  </si>
  <si>
    <t>7b</t>
  </si>
  <si>
    <t>Name_Length</t>
  </si>
  <si>
    <t>7d</t>
  </si>
  <si>
    <t>2nd Highest</t>
  </si>
  <si>
    <t>3rd Lowest</t>
  </si>
  <si>
    <t>10a</t>
  </si>
  <si>
    <t>10b</t>
  </si>
  <si>
    <t>1b</t>
  </si>
  <si>
    <t>Count of MovieName</t>
  </si>
  <si>
    <t>Count of Movies</t>
  </si>
  <si>
    <t>SNI</t>
  </si>
  <si>
    <t>Language</t>
  </si>
  <si>
    <t>Amount of each Ind. movie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</si>
</sst>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0.00_);[Red]\(&quot;$&quot;#,##0.00\)"/>
  </numFmts>
  <fonts count="14">
    <font>
      <sz val="11"/>
      <name val="Aptos Narrow"/>
      <scheme val="minor"/>
    </font>
    <font>
      <b/>
      <sz val="11"/>
      <color rgb="FFFFFFFF"/>
      <name val="Calibri"/>
      <family val="2"/>
    </font>
    <font>
      <sz val="11"/>
      <name val="Calibri"/>
      <family val="2"/>
    </font>
    <font>
      <b/>
      <u/>
      <sz val="11"/>
      <color rgb="FFFF0000"/>
      <name val="Calibri"/>
      <family val="2"/>
    </font>
    <font>
      <sz val="11"/>
      <color rgb="FFC55A11"/>
      <name val="Calibri"/>
      <family val="2"/>
    </font>
    <font>
      <b/>
      <sz val="11"/>
      <name val="Calibri"/>
      <family val="2"/>
    </font>
    <font>
      <b/>
      <sz val="10"/>
      <name val="Arial"/>
      <family val="2"/>
    </font>
    <font>
      <b/>
      <sz val="10"/>
      <color rgb="FFFFFFFF"/>
      <name val="Arial"/>
      <family val="2"/>
    </font>
    <font>
      <sz val="10"/>
      <name val="Arial"/>
      <family val="2"/>
    </font>
    <font>
      <b/>
      <sz val="11"/>
      <color rgb="FF000000"/>
      <name val="Calibri"/>
      <family val="2"/>
    </font>
    <font>
      <sz val="11"/>
      <color rgb="FF000000"/>
      <name val="Calibri"/>
      <family val="2"/>
    </font>
    <font>
      <b/>
      <u/>
      <sz val="12"/>
      <color rgb="FFFFFF00"/>
      <name val="Calibri"/>
      <family val="2"/>
    </font>
    <font>
      <sz val="12"/>
      <color rgb="FFFFFF00"/>
      <name val="Aptos Narrow"/>
      <family val="2"/>
    </font>
    <font>
      <sz val="12"/>
      <color rgb="FFFFFF00"/>
      <name val="Aptos Narrow"/>
      <scheme val="minor"/>
    </font>
  </fonts>
  <fills count="8">
    <fill>
      <patternFill patternType="none"/>
    </fill>
    <fill>
      <patternFill patternType="gray125"/>
    </fill>
    <fill>
      <patternFill patternType="solid">
        <fgColor rgb="FF002060"/>
        <bgColor rgb="FF002060"/>
      </patternFill>
    </fill>
    <fill>
      <patternFill patternType="solid">
        <fgColor rgb="FF7F7F7F"/>
        <bgColor rgb="FF7F7F7F"/>
      </patternFill>
    </fill>
    <fill>
      <patternFill patternType="solid">
        <fgColor rgb="FFFFFF00"/>
        <bgColor rgb="FFFFFF00"/>
      </patternFill>
    </fill>
    <fill>
      <patternFill patternType="solid">
        <fgColor rgb="FFD8D8D8"/>
        <bgColor rgb="FFD8D8D8"/>
      </patternFill>
    </fill>
    <fill>
      <patternFill patternType="solid">
        <fgColor rgb="FFFCE5CD"/>
        <bgColor rgb="FFFCE5CD"/>
      </patternFill>
    </fill>
    <fill>
      <patternFill patternType="solid">
        <fgColor rgb="FF2F5496"/>
        <bgColor rgb="FF2F5496"/>
      </patternFill>
    </fill>
  </fills>
  <borders count="18">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top style="medium">
        <color rgb="FFCCCCCC"/>
      </top>
      <bottom/>
      <diagonal/>
    </border>
    <border>
      <left/>
      <right/>
      <top style="medium">
        <color rgb="FFCCCCCC"/>
      </top>
      <bottom/>
      <diagonal/>
    </border>
    <border>
      <left/>
      <right style="medium">
        <color rgb="FFCCCCCC"/>
      </right>
      <top style="medium">
        <color rgb="FFCCCCCC"/>
      </top>
      <bottom/>
      <diagonal/>
    </border>
    <border>
      <left style="medium">
        <color rgb="FFCCCCCC"/>
      </left>
      <right/>
      <top/>
      <bottom/>
      <diagonal/>
    </border>
    <border>
      <left/>
      <right style="medium">
        <color rgb="FFCCCCCC"/>
      </right>
      <top/>
      <bottom/>
      <diagonal/>
    </border>
    <border>
      <left style="medium">
        <color rgb="FFCCCCCC"/>
      </left>
      <right/>
      <top/>
      <bottom style="medium">
        <color rgb="FFCCCCCC"/>
      </bottom>
      <diagonal/>
    </border>
    <border>
      <left/>
      <right/>
      <top/>
      <bottom style="medium">
        <color rgb="FFCCCCCC"/>
      </bottom>
      <diagonal/>
    </border>
    <border>
      <left/>
      <right style="medium">
        <color rgb="FFCCCCCC"/>
      </right>
      <top/>
      <bottom style="medium">
        <color rgb="FFCCCCCC"/>
      </bottom>
      <diagonal/>
    </border>
    <border>
      <left style="medium">
        <color rgb="FFCCCCCC"/>
      </left>
      <right style="medium">
        <color rgb="FF000000"/>
      </right>
      <top style="medium">
        <color rgb="FFCCCCCC"/>
      </top>
      <bottom style="medium">
        <color rgb="FFCCCCCC"/>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54">
    <xf numFmtId="0" fontId="0" fillId="0" borderId="0" xfId="0"/>
    <xf numFmtId="0" fontId="1" fillId="2" borderId="1" xfId="0" applyFont="1" applyFill="1" applyBorder="1" applyAlignment="1">
      <alignment wrapText="1"/>
    </xf>
    <xf numFmtId="0" fontId="1" fillId="2" borderId="2" xfId="0" applyFont="1" applyFill="1" applyBorder="1" applyAlignment="1">
      <alignment wrapText="1"/>
    </xf>
    <xf numFmtId="0" fontId="2" fillId="0" borderId="3" xfId="0" applyFont="1" applyBorder="1" applyAlignment="1">
      <alignment wrapText="1"/>
    </xf>
    <xf numFmtId="14" fontId="2" fillId="0" borderId="4" xfId="0" applyNumberFormat="1" applyFont="1" applyBorder="1" applyAlignment="1">
      <alignment horizontal="right" wrapText="1"/>
    </xf>
    <xf numFmtId="0" fontId="2" fillId="0" borderId="5" xfId="0" applyFont="1" applyBorder="1" applyAlignment="1">
      <alignment wrapText="1"/>
    </xf>
    <xf numFmtId="0" fontId="2" fillId="0" borderId="5" xfId="0" applyFont="1" applyBorder="1" applyAlignment="1">
      <alignment horizontal="right" wrapText="1"/>
    </xf>
    <xf numFmtId="3" fontId="2" fillId="0" borderId="5" xfId="0" applyNumberFormat="1" applyFont="1" applyBorder="1" applyAlignment="1">
      <alignment horizontal="right" wrapText="1"/>
    </xf>
    <xf numFmtId="0" fontId="1" fillId="2" borderId="1" xfId="0" applyFont="1" applyFill="1" applyBorder="1"/>
    <xf numFmtId="0" fontId="1" fillId="2" borderId="2" xfId="0" applyFont="1" applyFill="1" applyBorder="1"/>
    <xf numFmtId="0" fontId="1" fillId="2" borderId="14" xfId="0" applyFont="1" applyFill="1" applyBorder="1"/>
    <xf numFmtId="0" fontId="2" fillId="0" borderId="3" xfId="0" applyFont="1" applyBorder="1"/>
    <xf numFmtId="0" fontId="3" fillId="4" borderId="3" xfId="0" applyFont="1" applyFill="1" applyBorder="1" applyAlignment="1">
      <alignment vertical="center"/>
    </xf>
    <xf numFmtId="14" fontId="2" fillId="0" borderId="4" xfId="0" applyNumberFormat="1" applyFont="1" applyBorder="1" applyAlignment="1">
      <alignment horizontal="right"/>
    </xf>
    <xf numFmtId="0" fontId="2" fillId="0" borderId="5" xfId="0" applyFont="1" applyBorder="1"/>
    <xf numFmtId="3" fontId="2" fillId="0" borderId="5" xfId="0" applyNumberFormat="1" applyFont="1" applyBorder="1" applyAlignment="1">
      <alignment horizontal="right"/>
    </xf>
    <xf numFmtId="0" fontId="2" fillId="0" borderId="5" xfId="0" applyFont="1" applyBorder="1" applyAlignment="1">
      <alignment horizontal="right"/>
    </xf>
    <xf numFmtId="0" fontId="2" fillId="0" borderId="3" xfId="0" applyFont="1" applyBorder="1" applyAlignment="1">
      <alignment horizontal="right"/>
    </xf>
    <xf numFmtId="0" fontId="2" fillId="0" borderId="3" xfId="0" applyFont="1" applyBorder="1" applyAlignment="1">
      <alignment vertical="center"/>
    </xf>
    <xf numFmtId="0" fontId="4" fillId="5" borderId="3" xfId="0" applyFont="1" applyFill="1" applyBorder="1" applyAlignment="1">
      <alignment vertical="center"/>
    </xf>
    <xf numFmtId="0" fontId="2" fillId="5" borderId="3" xfId="0" applyFont="1" applyFill="1" applyBorder="1" applyAlignment="1">
      <alignment vertical="center"/>
    </xf>
    <xf numFmtId="0" fontId="5" fillId="0" borderId="5" xfId="0" applyFont="1" applyBorder="1"/>
    <xf numFmtId="0" fontId="1" fillId="2" borderId="4" xfId="0" applyFont="1" applyFill="1" applyBorder="1" applyAlignment="1">
      <alignment wrapText="1"/>
    </xf>
    <xf numFmtId="0" fontId="1" fillId="2" borderId="5" xfId="0" applyFont="1" applyFill="1" applyBorder="1" applyAlignment="1">
      <alignment wrapText="1"/>
    </xf>
    <xf numFmtId="164" fontId="2" fillId="0" borderId="5" xfId="0" applyNumberFormat="1" applyFont="1" applyBorder="1" applyAlignment="1">
      <alignment horizontal="right" wrapText="1"/>
    </xf>
    <xf numFmtId="0" fontId="6" fillId="6" borderId="1" xfId="0" applyFont="1" applyFill="1" applyBorder="1"/>
    <xf numFmtId="0" fontId="6" fillId="6" borderId="15" xfId="0" applyFont="1" applyFill="1" applyBorder="1" applyAlignment="1">
      <alignment horizontal="center"/>
    </xf>
    <xf numFmtId="0" fontId="6" fillId="6" borderId="15" xfId="0" applyFont="1" applyFill="1" applyBorder="1"/>
    <xf numFmtId="0" fontId="7" fillId="7" borderId="15" xfId="0" applyFont="1" applyFill="1" applyBorder="1" applyAlignment="1">
      <alignment horizontal="center"/>
    </xf>
    <xf numFmtId="0" fontId="5" fillId="4" borderId="15" xfId="0" applyFont="1" applyFill="1" applyBorder="1"/>
    <xf numFmtId="0" fontId="8" fillId="0" borderId="16" xfId="0" applyFont="1" applyBorder="1"/>
    <xf numFmtId="0" fontId="8" fillId="0" borderId="17" xfId="0" applyFont="1" applyBorder="1" applyAlignment="1">
      <alignment horizontal="center"/>
    </xf>
    <xf numFmtId="0" fontId="8" fillId="0" borderId="17" xfId="0" applyFont="1" applyBorder="1"/>
    <xf numFmtId="0" fontId="2" fillId="0" borderId="17" xfId="0" applyFont="1" applyBorder="1"/>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10" fontId="0" fillId="0" borderId="0" xfId="0" applyNumberFormat="1"/>
    <xf numFmtId="0" fontId="0" fillId="0" borderId="0" xfId="0" applyAlignment="1">
      <alignment horizontal="left" indent="2"/>
    </xf>
    <xf numFmtId="0" fontId="2" fillId="0" borderId="9" xfId="0" applyFont="1" applyFill="1" applyBorder="1" applyAlignment="1">
      <alignment horizontal="right" wrapText="1"/>
    </xf>
    <xf numFmtId="0" fontId="2" fillId="0" borderId="0" xfId="0" applyFont="1" applyFill="1" applyBorder="1" applyAlignment="1">
      <alignment wrapText="1"/>
    </xf>
    <xf numFmtId="0" fontId="2" fillId="0" borderId="0" xfId="0" applyFont="1" applyFill="1" applyBorder="1" applyAlignment="1">
      <alignment horizontal="right" wrapText="1"/>
    </xf>
    <xf numFmtId="0" fontId="11" fillId="3" borderId="6" xfId="0" applyFont="1" applyFill="1" applyBorder="1" applyAlignment="1">
      <alignment vertical="center" wrapText="1"/>
    </xf>
    <xf numFmtId="0" fontId="12" fillId="0" borderId="7" xfId="0" applyFont="1" applyBorder="1"/>
    <xf numFmtId="0" fontId="12" fillId="0" borderId="8" xfId="0" applyFont="1" applyBorder="1"/>
    <xf numFmtId="0" fontId="12" fillId="0" borderId="9" xfId="0" applyFont="1" applyBorder="1"/>
    <xf numFmtId="0" fontId="13" fillId="0" borderId="0" xfId="0" applyFont="1"/>
    <xf numFmtId="0" fontId="12" fillId="0" borderId="10" xfId="0" applyFont="1" applyBorder="1"/>
    <xf numFmtId="0" fontId="12" fillId="0" borderId="11" xfId="0" applyFont="1" applyBorder="1"/>
    <xf numFmtId="0" fontId="12" fillId="0" borderId="12" xfId="0" applyFont="1" applyBorder="1"/>
    <xf numFmtId="0" fontId="12" fillId="0" borderId="13" xfId="0" applyFont="1" applyBorder="1"/>
    <xf numFmtId="0" fontId="0" fillId="0" borderId="0" xfId="0" applyAlignment="1">
      <alignment horizontal="left" indent="3"/>
    </xf>
  </cellXfs>
  <cellStyles count="1">
    <cellStyle name="Normal" xfId="0" builtinId="0"/>
  </cellStyles>
  <dxfs count="9">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theme="3" tint="0.499984740745262"/>
      </font>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[task3 (Autosaved).xlsx]Q2!PivotTable7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Marks</a:t>
            </a:r>
          </a:p>
          <a:p>
            <a:pPr>
              <a:defRPr/>
            </a:pP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pivotFmt>
      <c:pivotFmt>
        <c:idx val="1"/>
        <c:spPr>
          <a:solidFill>
            <a:schemeClr val="accent5"/>
          </a:solidFill>
          <a:ln>
            <a:noFill/>
          </a:ln>
          <a:effectLst/>
        </c:spPr>
        <c:marker>
          <c:symbol val="none"/>
        </c:marker>
      </c:pivotFmt>
    </c:pivotFmts>
    <c:plotArea>
      <c:layout/>
      <c:barChart>
        <c:barDir val="col"/>
        <c:grouping val="clustered"/>
        <c:varyColors val="0"/>
        <c:ser>
          <c:idx val="0"/>
          <c:order val="0"/>
          <c:tx>
            <c:strRef>
              <c:f>'Q2'!$BK$3</c:f>
              <c:strCache>
                <c:ptCount val="1"/>
                <c:pt idx="0">
                  <c:v>Total</c:v>
                </c:pt>
              </c:strCache>
            </c:strRef>
          </c:tx>
          <c:spPr>
            <a:solidFill>
              <a:schemeClr val="accent5"/>
            </a:solidFill>
            <a:ln>
              <a:noFill/>
            </a:ln>
            <a:effectLst/>
          </c:spPr>
          <c:invertIfNegative val="0"/>
          <c:cat>
            <c:strRef>
              <c:f>'Q2'!$BJ$4:$BJ$6</c:f>
              <c:strCache>
                <c:ptCount val="2"/>
                <c:pt idx="0">
                  <c:v>F</c:v>
                </c:pt>
                <c:pt idx="1">
                  <c:v>M</c:v>
                </c:pt>
              </c:strCache>
            </c:strRef>
          </c:cat>
          <c:val>
            <c:numRef>
              <c:f>'Q2'!$BK$4:$BK$6</c:f>
              <c:numCache>
                <c:formatCode>General</c:formatCode>
                <c:ptCount val="2"/>
                <c:pt idx="0">
                  <c:v>319.469696969697</c:v>
                </c:pt>
                <c:pt idx="1">
                  <c:v>322.49275362318838</c:v>
                </c:pt>
              </c:numCache>
            </c:numRef>
          </c:val>
          <c:extLst>
            <c:ext xmlns:c16="http://schemas.microsoft.com/office/drawing/2014/chart" uri="{C3380CC4-5D6E-409C-BE32-E72D297353CC}">
              <c16:uniqueId val="{00000000-FC69-4E68-8D46-8B74D22CCFEA}"/>
            </c:ext>
          </c:extLst>
        </c:ser>
        <c:dLbls>
          <c:showLegendKey val="0"/>
          <c:showVal val="0"/>
          <c:showCatName val="0"/>
          <c:showSerName val="0"/>
          <c:showPercent val="0"/>
          <c:showBubbleSize val="0"/>
        </c:dLbls>
        <c:gapWidth val="219"/>
        <c:overlap val="-27"/>
        <c:axId val="2038302208"/>
        <c:axId val="2038299712"/>
      </c:barChart>
      <c:catAx>
        <c:axId val="2038302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8299712"/>
        <c:crosses val="autoZero"/>
        <c:auto val="1"/>
        <c:lblAlgn val="ctr"/>
        <c:lblOffset val="100"/>
        <c:noMultiLvlLbl val="0"/>
      </c:catAx>
      <c:valAx>
        <c:axId val="20382997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83022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[task3 (Autosaved).xlsx]Q2!PivotTable8</c:name>
    <c:fmtId val="1"/>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s>
    <c:plotArea>
      <c:layout/>
      <c:barChart>
        <c:barDir val="col"/>
        <c:grouping val="clustered"/>
        <c:varyColors val="0"/>
        <c:ser>
          <c:idx val="0"/>
          <c:order val="0"/>
          <c:tx>
            <c:strRef>
              <c:f>'Q2'!$BK$23</c:f>
              <c:strCache>
                <c:ptCount val="1"/>
                <c:pt idx="0">
                  <c:v>Total</c:v>
                </c:pt>
              </c:strCache>
            </c:strRef>
          </c:tx>
          <c:spPr>
            <a:solidFill>
              <a:schemeClr val="accent2"/>
            </a:solidFill>
            <a:ln>
              <a:noFill/>
            </a:ln>
            <a:effectLst/>
          </c:spPr>
          <c:invertIfNegative val="0"/>
          <c:cat>
            <c:multiLvlStrRef>
              <c:f>'Q2'!$BJ$24:$BJ$36</c:f>
              <c:multiLvlStrCache>
                <c:ptCount val="10"/>
                <c:lvl>
                  <c:pt idx="0">
                    <c:v>Bellen</c:v>
                  </c:pt>
                  <c:pt idx="1">
                    <c:v>Carlota</c:v>
                  </c:pt>
                  <c:pt idx="2">
                    <c:v>Quad</c:v>
                  </c:pt>
                  <c:pt idx="3">
                    <c:v>Sunset</c:v>
                  </c:pt>
                  <c:pt idx="4">
                    <c:v>Sunshine</c:v>
                  </c:pt>
                  <c:pt idx="5">
                    <c:v>Bellen</c:v>
                  </c:pt>
                  <c:pt idx="6">
                    <c:v>Carlota</c:v>
                  </c:pt>
                  <c:pt idx="7">
                    <c:v>Quad</c:v>
                  </c:pt>
                  <c:pt idx="8">
                    <c:v>Sunset</c:v>
                  </c:pt>
                  <c:pt idx="9">
                    <c:v>Sunshine</c:v>
                  </c:pt>
                </c:lvl>
                <c:lvl>
                  <c:pt idx="0">
                    <c:v>Foreigner</c:v>
                  </c:pt>
                  <c:pt idx="5">
                    <c:v>Indian</c:v>
                  </c:pt>
                </c:lvl>
              </c:multiLvlStrCache>
            </c:multiLvlStrRef>
          </c:cat>
          <c:val>
            <c:numRef>
              <c:f>'Q2'!$BK$24:$BK$36</c:f>
              <c:numCache>
                <c:formatCode>General</c:formatCode>
                <c:ptCount val="10"/>
                <c:pt idx="0">
                  <c:v>1254</c:v>
                </c:pt>
                <c:pt idx="1">
                  <c:v>1219</c:v>
                </c:pt>
                <c:pt idx="2">
                  <c:v>1647</c:v>
                </c:pt>
                <c:pt idx="3">
                  <c:v>1197</c:v>
                </c:pt>
                <c:pt idx="4">
                  <c:v>1216</c:v>
                </c:pt>
                <c:pt idx="5">
                  <c:v>5000</c:v>
                </c:pt>
                <c:pt idx="6">
                  <c:v>1449</c:v>
                </c:pt>
                <c:pt idx="7">
                  <c:v>1755</c:v>
                </c:pt>
                <c:pt idx="8">
                  <c:v>1323</c:v>
                </c:pt>
                <c:pt idx="9">
                  <c:v>1102</c:v>
                </c:pt>
              </c:numCache>
            </c:numRef>
          </c:val>
          <c:extLst>
            <c:ext xmlns:c16="http://schemas.microsoft.com/office/drawing/2014/chart" uri="{C3380CC4-5D6E-409C-BE32-E72D297353CC}">
              <c16:uniqueId val="{00000000-42D1-4DA8-B990-D8CF1EC0E5BA}"/>
            </c:ext>
          </c:extLst>
        </c:ser>
        <c:dLbls>
          <c:showLegendKey val="0"/>
          <c:showVal val="0"/>
          <c:showCatName val="0"/>
          <c:showSerName val="0"/>
          <c:showPercent val="0"/>
          <c:showBubbleSize val="0"/>
        </c:dLbls>
        <c:gapWidth val="219"/>
        <c:overlap val="-27"/>
        <c:axId val="2037552272"/>
        <c:axId val="2030409120"/>
      </c:barChart>
      <c:catAx>
        <c:axId val="2037552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409120"/>
        <c:crosses val="autoZero"/>
        <c:auto val="1"/>
        <c:lblAlgn val="ctr"/>
        <c:lblOffset val="100"/>
        <c:noMultiLvlLbl val="0"/>
      </c:catAx>
      <c:valAx>
        <c:axId val="20304091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5522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63</xdr:col>
      <xdr:colOff>163288</xdr:colOff>
      <xdr:row>1</xdr:row>
      <xdr:rowOff>108693</xdr:rowOff>
    </xdr:from>
    <xdr:to>
      <xdr:col>79</xdr:col>
      <xdr:colOff>117107</xdr:colOff>
      <xdr:row>16</xdr:row>
      <xdr:rowOff>130465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63</xdr:col>
      <xdr:colOff>179779</xdr:colOff>
      <xdr:row>21</xdr:row>
      <xdr:rowOff>149927</xdr:rowOff>
    </xdr:from>
    <xdr:to>
      <xdr:col>77</xdr:col>
      <xdr:colOff>84117</xdr:colOff>
      <xdr:row>36</xdr:row>
      <xdr:rowOff>171698</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sivag/AppData/Local/Microsoft/Windows/INetCache/IE/0T32RFAM/task4-nikhil%5b1%5d.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refreshedBy="2024" refreshedDate="45969.692249537038" createdVersion="8" refreshedVersion="8" minRefreshableVersion="3" recordCount="135">
  <cacheSource type="worksheet">
    <worksheetSource ref="A1:H136" sheet="Q1" r:id="rId2"/>
  </cacheSource>
  <cacheFields count="10">
    <cacheField name="Date" numFmtId="14">
      <sharedItems containsSemiMixedTypes="0" containsNonDate="0" containsDate="1" containsString="0" minDate="2011-01-01T00:00:00" maxDate="2011-03-15T00:00:00" count="49">
        <d v="2011-01-10T00:00:00"/>
        <d v="2011-01-01T00:00:00"/>
        <d v="2011-01-18T00:00:00"/>
        <d v="2011-03-04T00:00:00"/>
        <d v="2011-01-29T00:00:00"/>
        <d v="2011-01-22T00:00:00"/>
        <d v="2011-03-08T00:00:00"/>
        <d v="2011-01-02T00:00:00"/>
        <d v="2011-01-15T00:00:00"/>
        <d v="2011-02-17T00:00:00"/>
        <d v="2011-01-24T00:00:00"/>
        <d v="2011-03-10T00:00:00"/>
        <d v="2011-01-11T00:00:00"/>
        <d v="2011-01-04T00:00:00"/>
        <d v="2011-01-23T00:00:00"/>
        <d v="2011-03-09T00:00:00"/>
        <d v="2011-01-26T00:00:00"/>
        <d v="2011-01-21T00:00:00"/>
        <d v="2011-01-30T00:00:00"/>
        <d v="2011-01-09T00:00:00"/>
        <d v="2011-02-23T00:00:00"/>
        <d v="2011-01-17T00:00:00"/>
        <d v="2011-01-20T00:00:00"/>
        <d v="2011-02-19T00:00:00"/>
        <d v="2011-01-05T00:00:00"/>
        <d v="2011-01-03T00:00:00"/>
        <d v="2011-01-13T00:00:00"/>
        <d v="2011-01-28T00:00:00"/>
        <d v="2011-02-27T00:00:00"/>
        <d v="2011-01-07T00:00:00"/>
        <d v="2011-02-06T00:00:00"/>
        <d v="2011-02-16T00:00:00"/>
        <d v="2011-01-08T00:00:00"/>
        <d v="2011-02-04T00:00:00"/>
        <d v="2011-02-25T00:00:00"/>
        <d v="2011-01-12T00:00:00"/>
        <d v="2011-01-14T00:00:00"/>
        <d v="2011-01-25T00:00:00"/>
        <d v="2011-03-14T00:00:00"/>
        <d v="2011-01-06T00:00:00"/>
        <d v="2011-02-24T00:00:00"/>
        <d v="2011-03-03T00:00:00"/>
        <d v="2011-02-02T00:00:00"/>
        <d v="2011-01-16T00:00:00"/>
        <d v="2011-01-27T00:00:00"/>
        <d v="2011-02-01T00:00:00"/>
        <d v="2011-01-19T00:00:00"/>
        <d v="2011-02-15T00:00:00"/>
        <d v="2011-02-14T00:00:00"/>
      </sharedItems>
      <fieldGroup par="9"/>
    </cacheField>
    <cacheField name="Product" numFmtId="0">
      <sharedItems count="5">
        <s v="Carlota"/>
        <s v="Quad"/>
        <s v="Sunshine"/>
        <s v="Bellen"/>
        <s v="Sunset"/>
      </sharedItems>
    </cacheField>
    <cacheField name="Region" numFmtId="0">
      <sharedItems count="4">
        <s v="East"/>
        <s v="West"/>
        <s v="MidWest"/>
        <s v="South"/>
      </sharedItems>
    </cacheField>
    <cacheField name="SalesRep" numFmtId="0">
      <sharedItems count="6">
        <s v="Pham"/>
        <s v="Sioux"/>
        <s v="Franks"/>
        <s v="Chin"/>
        <s v="Gault"/>
        <s v="Smith"/>
      </sharedItems>
    </cacheField>
    <cacheField name="Customer" numFmtId="0">
      <sharedItems count="31">
        <s v="AA"/>
        <s v="AST"/>
        <s v="BBT"/>
        <s v="DFGH"/>
        <s v="DFR"/>
        <s v="EPP"/>
        <s v="ET"/>
        <s v="FM"/>
        <s v="FRED"/>
        <s v="HHH"/>
        <s v="HII"/>
        <s v="ITTW"/>
        <s v="ITW"/>
        <s v="JAQ"/>
        <s v="KBTB"/>
        <s v="KPSA"/>
        <s v="LOP"/>
        <s v="MBG"/>
        <s v="MNGD"/>
        <s v="PCC"/>
        <s v="PLOT"/>
        <s v="PSA"/>
        <s v="QT"/>
        <s v="SFWK"/>
        <s v="T"/>
        <s v="TRU"/>
        <s v="TTT"/>
        <s v="WSD"/>
        <s v="WT"/>
        <s v="YTR"/>
        <s v="ZAT"/>
      </sharedItems>
    </cacheField>
    <cacheField name="Units" numFmtId="0">
      <sharedItems containsSemiMixedTypes="0" containsString="0" containsNumber="1" containsInteger="1" minValue="6" maxValue="65" count="53">
        <n v="63"/>
        <n v="16"/>
        <n v="24"/>
        <n v="50"/>
        <n v="53"/>
        <n v="30"/>
        <n v="8"/>
        <n v="13"/>
        <n v="49"/>
        <n v="29"/>
        <n v="20"/>
        <n v="9"/>
        <n v="44"/>
        <n v="59"/>
        <n v="17"/>
        <n v="23"/>
        <n v="40"/>
        <n v="61"/>
        <n v="12"/>
        <n v="7"/>
        <n v="52"/>
        <n v="58"/>
        <n v="62"/>
        <n v="38"/>
        <n v="51"/>
        <n v="60"/>
        <n v="14"/>
        <n v="56"/>
        <n v="19"/>
        <n v="34"/>
        <n v="21"/>
        <n v="65"/>
        <n v="18"/>
        <n v="15"/>
        <n v="47"/>
        <n v="46"/>
        <n v="39"/>
        <n v="10"/>
        <n v="64"/>
        <n v="22"/>
        <n v="42"/>
        <n v="6"/>
        <n v="57"/>
        <n v="54"/>
        <n v="33"/>
        <n v="25"/>
        <n v="31"/>
        <n v="43"/>
        <n v="35"/>
        <n v="27"/>
        <n v="11"/>
        <n v="26"/>
        <n v="36"/>
      </sharedItems>
    </cacheField>
    <cacheField name="sales" numFmtId="0">
      <sharedItems containsSemiMixedTypes="0" containsString="0" containsNumber="1" containsInteger="1" minValue="114" maxValue="5000" count="90">
        <n v="1449"/>
        <n v="432"/>
        <n v="456"/>
        <n v="1100"/>
        <n v="1166"/>
        <n v="810"/>
        <n v="1323"/>
        <n v="152"/>
        <n v="299"/>
        <n v="609"/>
        <n v="440"/>
        <n v="198"/>
        <n v="924"/>
        <n v="1298"/>
        <n v="459"/>
        <n v="437"/>
        <n v="931"/>
        <n v="880"/>
        <n v="1647"/>
        <n v="1357"/>
        <n v="228"/>
        <n v="154"/>
        <n v="460"/>
        <n v="1196"/>
        <n v="1566"/>
        <n v="783"/>
        <n v="1302"/>
        <n v="722"/>
        <n v="5000"/>
        <n v="969"/>
        <n v="276"/>
        <n v="273"/>
        <n v="1121"/>
        <n v="1674"/>
        <n v="1701"/>
        <n v="1380"/>
        <n v="378"/>
        <n v="1512"/>
        <n v="399"/>
        <n v="782"/>
        <n v="528"/>
        <n v="667"/>
        <n v="1755"/>
        <n v="374"/>
        <n v="414"/>
        <n v="345"/>
        <n v="357"/>
        <n v="987"/>
        <n v="1058"/>
        <n v="252"/>
        <n v="352"/>
        <n v="897"/>
        <n v="1188"/>
        <n v="270"/>
        <n v="1728"/>
        <n v="462"/>
        <n v="798"/>
        <n v="1178"/>
        <n v="114"/>
        <n v="1254"/>
        <n v="220"/>
        <n v="1026"/>
        <n v="627"/>
        <n v="330"/>
        <n v="550"/>
        <n v="713"/>
        <n v="230"/>
        <n v="1216"/>
        <n v="760"/>
        <n v="418"/>
        <n v="1161"/>
        <n v="770"/>
        <n v="594"/>
        <n v="1281"/>
        <n v="242"/>
        <n v="567"/>
        <n v="570"/>
        <n v="675"/>
        <n v="1197"/>
        <n v="572"/>
        <n v="874"/>
        <n v="483"/>
        <n v="132"/>
        <n v="1113"/>
        <n v="1232"/>
        <n v="1219"/>
        <n v="1134"/>
        <n v="209"/>
        <n v="1102"/>
        <n v="756"/>
      </sharedItems>
    </cacheField>
    <cacheField name="Discount" numFmtId="0">
      <sharedItems containsSemiMixedTypes="0" containsString="0" containsNumber="1" containsInteger="1" minValue="48" maxValue="943"/>
    </cacheField>
    <cacheField name="Days (Date)" numFmtId="0" databaseField="0">
      <fieldGroup base="0">
        <rangePr groupBy="days" startDate="2011-01-01T00:00:00" endDate="2011-03-15T00:00:00"/>
        <groupItems count="368">
          <s v="&lt;01-01-201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03-2011"/>
        </groupItems>
      </fieldGroup>
    </cacheField>
    <cacheField name="Months (Date)" numFmtId="0" databaseField="0">
      <fieldGroup base="0">
        <rangePr groupBy="months" startDate="2011-01-01T00:00:00" endDate="2011-03-15T00:00:00"/>
        <groupItems count="14">
          <s v="&lt;01-01-2011"/>
          <s v="Jan"/>
          <s v="Feb"/>
          <s v="Mar"/>
          <s v="Apr"/>
          <s v="May"/>
          <s v="Jun"/>
          <s v="Jul"/>
          <s v="Aug"/>
          <s v="Sep"/>
          <s v="Oct"/>
          <s v="Nov"/>
          <s v="Dec"/>
          <s v="&gt;15-03-2011"/>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sivag" refreshedDate="45970.959996874997" createdVersion="6" refreshedVersion="6" minRefreshableVersion="3" recordCount="135">
  <cacheSource type="worksheet">
    <worksheetSource ref="A1:P136" sheet="Q2"/>
  </cacheSource>
  <cacheFields count="16">
    <cacheField name="Date" numFmtId="14">
      <sharedItems containsSemiMixedTypes="0" containsNonDate="0" containsDate="1" containsString="0" minDate="2011-01-01T00:00:00" maxDate="2011-03-15T00:00:00"/>
    </cacheField>
    <cacheField name="Product" numFmtId="0">
      <sharedItems count="5">
        <s v="Carlota"/>
        <s v="Quad"/>
        <s v="Sunshine"/>
        <s v="Bellen"/>
        <s v="Sunset"/>
      </sharedItems>
    </cacheField>
    <cacheField name="Region" numFmtId="0">
      <sharedItems count="4">
        <s v="East"/>
        <s v="West"/>
        <s v="MidWest"/>
        <s v="South"/>
      </sharedItems>
    </cacheField>
    <cacheField name="Sales" numFmtId="0">
      <sharedItems containsSemiMixedTypes="0" containsString="0" containsNumber="1" containsInteger="1" minValue="114" maxValue="5000"/>
    </cacheField>
    <cacheField name="Nationality" numFmtId="0">
      <sharedItems count="2">
        <s v="Indian"/>
        <s v="Foreigner"/>
      </sharedItems>
    </cacheField>
    <cacheField name="SalesRep" numFmtId="0">
      <sharedItems count="6">
        <s v="Pham"/>
        <s v="Sioux"/>
        <s v="Franks"/>
        <s v="Chin"/>
        <s v="Gault"/>
        <s v="Smith"/>
      </sharedItems>
    </cacheField>
    <cacheField name="Customer" numFmtId="0">
      <sharedItems count="37">
        <s v="Anirudh"/>
        <s v="Abishek"/>
        <s v="RAGHAV"/>
        <s v="SEETHA"/>
        <s v="Kavitha"/>
        <s v="AST"/>
        <s v="Santhosh"/>
        <s v="Yasvanth"/>
        <s v="BBT"/>
        <s v="DFGH"/>
        <s v="DFR"/>
        <s v="EPP"/>
        <s v="ET"/>
        <s v="FM"/>
        <s v="FRED"/>
        <s v="HHH"/>
        <s v="HII"/>
        <s v="ITTW"/>
        <s v="ITW"/>
        <s v="JAQ"/>
        <s v="KBTB"/>
        <s v="KPSA"/>
        <s v="LOP"/>
        <s v="MBG"/>
        <s v="MNGD"/>
        <s v="PCC"/>
        <s v="PLOT"/>
        <s v="PSA"/>
        <s v="QT"/>
        <s v="SFWK"/>
        <s v="T"/>
        <s v="TRU"/>
        <s v="TTT"/>
        <s v="WSD"/>
        <s v="WT"/>
        <s v="YTR"/>
        <s v="ZAT"/>
      </sharedItems>
    </cacheField>
    <cacheField name="Units" numFmtId="0">
      <sharedItems containsSemiMixedTypes="0" containsString="0" containsNumber="1" containsInteger="1" minValue="6" maxValue="65"/>
    </cacheField>
    <cacheField name="Sales2" numFmtId="0">
      <sharedItems containsSemiMixedTypes="0" containsString="0" containsNumber="1" containsInteger="1" minValue="114" maxValue="5000"/>
    </cacheField>
    <cacheField name="Discount" numFmtId="0">
      <sharedItems containsSemiMixedTypes="0" containsString="0" containsNumber="1" containsInteger="1" minValue="48" maxValue="943"/>
    </cacheField>
    <cacheField name="test1" numFmtId="0">
      <sharedItems containsSemiMixedTypes="0" containsString="0" containsNumber="1" containsInteger="1" minValue="60" maxValue="100"/>
    </cacheField>
    <cacheField name="test2" numFmtId="0">
      <sharedItems containsSemiMixedTypes="0" containsString="0" containsNumber="1" containsInteger="1" minValue="60" maxValue="100"/>
    </cacheField>
    <cacheField name="test3" numFmtId="0">
      <sharedItems containsSemiMixedTypes="0" containsString="0" containsNumber="1" containsInteger="1" minValue="60" maxValue="100"/>
    </cacheField>
    <cacheField name="test4" numFmtId="0">
      <sharedItems containsSemiMixedTypes="0" containsString="0" containsNumber="1" containsInteger="1" minValue="60" maxValue="100"/>
    </cacheField>
    <cacheField name="Total" numFmtId="0">
      <sharedItems containsSemiMixedTypes="0" containsString="0" containsNumber="1" containsInteger="1" minValue="263" maxValue="385" count="78">
        <n v="263"/>
        <n v="341"/>
        <n v="376"/>
        <n v="325"/>
        <n v="294"/>
        <n v="283"/>
        <n v="330"/>
        <n v="303"/>
        <n v="338"/>
        <n v="295"/>
        <n v="264"/>
        <n v="342"/>
        <n v="316"/>
        <n v="332"/>
        <n v="333"/>
        <n v="307"/>
        <n v="347"/>
        <n v="304"/>
        <n v="340"/>
        <n v="297"/>
        <n v="319"/>
        <n v="335"/>
        <n v="346"/>
        <n v="315"/>
        <n v="322"/>
        <n v="344"/>
        <n v="289"/>
        <n v="285"/>
        <n v="348"/>
        <n v="336"/>
        <n v="331"/>
        <n v="302"/>
        <n v="320"/>
        <n v="371"/>
        <n v="309"/>
        <n v="327"/>
        <n v="337"/>
        <n v="291"/>
        <n v="275"/>
        <n v="352"/>
        <n v="296"/>
        <n v="312"/>
        <n v="301"/>
        <n v="326"/>
        <n v="318"/>
        <n v="281"/>
        <n v="308"/>
        <n v="310"/>
        <n v="276"/>
        <n v="361"/>
        <n v="339"/>
        <n v="311"/>
        <n v="300"/>
        <n v="292"/>
        <n v="314"/>
        <n v="370"/>
        <n v="349"/>
        <n v="345"/>
        <n v="293"/>
        <n v="358"/>
        <n v="365"/>
        <n v="284"/>
        <n v="317"/>
        <n v="369"/>
        <n v="329"/>
        <n v="343"/>
        <n v="356"/>
        <n v="313"/>
        <n v="282"/>
        <n v="271"/>
        <n v="350"/>
        <n v="372"/>
        <n v="381"/>
        <n v="287"/>
        <n v="360"/>
        <n v="323"/>
        <n v="278"/>
        <n v="385"/>
      </sharedItems>
    </cacheField>
    <cacheField name="Gender" numFmtId="0">
      <sharedItems count="2">
        <s v="M"/>
        <s v="F"/>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sivag" refreshedDate="45972.014191087961" createdVersion="6" refreshedVersion="6" minRefreshableVersion="3" recordCount="71">
  <cacheSource type="worksheet">
    <worksheetSource ref="A1:M72" sheet="Q4"/>
  </cacheSource>
  <cacheFields count="13">
    <cacheField name="MovieName" numFmtId="0">
      <sharedItems count="71">
        <s v="Movie 1"/>
        <s v="Movie2"/>
        <s v="Movie 3"/>
        <s v="Movie 4"/>
        <s v="Movie 5"/>
        <s v="Movie 6"/>
        <s v="Movie 7"/>
        <s v="Movie 8"/>
        <s v="Movie 9"/>
        <s v="Movie 10"/>
        <s v="Movie 11"/>
        <s v="Movie 12"/>
        <s v="Movie 13"/>
        <s v="Movie 14"/>
        <s v="Movie 15"/>
        <s v="Movie 16"/>
        <s v="Movie 17"/>
        <s v="Movie 18"/>
        <s v="Movie 19"/>
        <s v="Movie 20"/>
        <s v="Movie 21"/>
        <s v="Movie 22"/>
        <s v="Movie 23"/>
        <s v="Movie 24"/>
        <s v="Movie 25"/>
        <s v="Movie 26"/>
        <s v="Movie 27"/>
        <s v="Movie 28"/>
        <s v="Movie 29"/>
        <s v="Movie 30"/>
        <s v="Movie 31"/>
        <s v="Movie 32"/>
        <s v="Movie 33"/>
        <s v="Movie 34"/>
        <s v="Movie 35"/>
        <s v="Movie 36"/>
        <s v="Movie 37"/>
        <s v="Movie 38"/>
        <s v="Movie 39"/>
        <s v="Movie 40"/>
        <s v="Movie 41"/>
        <s v="Movie 42"/>
        <s v="Movie 43"/>
        <s v="Movie 44"/>
        <s v="Movie 45"/>
        <s v="Movie 46"/>
        <s v="Movie 47"/>
        <s v="Movie 48"/>
        <s v="Movie 49"/>
        <s v="Movie 50"/>
        <s v="Movie 51"/>
        <s v="Movie 52"/>
        <s v="Movie 53"/>
        <s v="Movie 54"/>
        <s v="Movie 55"/>
        <s v="Movie 56"/>
        <s v="Movie 57"/>
        <s v="Movie 58"/>
        <s v="Movie 59"/>
        <s v="Movie 60"/>
        <s v="Movie 61"/>
        <s v="Movie 62"/>
        <s v="Movie 63"/>
        <s v="Movie 64"/>
        <s v="Movie 65"/>
        <s v="Movie 66"/>
        <s v="Movie 67"/>
        <s v="Movie 68"/>
        <s v="Movie 69"/>
        <s v="Movie 70"/>
        <s v="Movie 71"/>
      </sharedItems>
    </cacheField>
    <cacheField name="Actor" numFmtId="0">
      <sharedItems count="11">
        <s v="MB"/>
        <s v="PK"/>
        <s v="CH"/>
        <s v="VJ"/>
        <s v="NK"/>
        <s v="RAM"/>
        <s v="NTR"/>
        <s v="NANI"/>
        <s v="AA"/>
        <s v="PRABAS"/>
        <s v="RT"/>
      </sharedItems>
    </cacheField>
    <cacheField name="Actress" numFmtId="0">
      <sharedItems/>
    </cacheField>
    <cacheField name="Amount (cr)" numFmtId="0">
      <sharedItems containsSemiMixedTypes="0" containsString="0" containsNumber="1" containsInteger="1" minValue="3" maxValue="100" count="51">
        <n v="85"/>
        <n v="35"/>
        <n v="18"/>
        <n v="31"/>
        <n v="46"/>
        <n v="44"/>
        <n v="34"/>
        <n v="22"/>
        <n v="37"/>
        <n v="30"/>
        <n v="68"/>
        <n v="71"/>
        <n v="66"/>
        <n v="49"/>
        <n v="76"/>
        <n v="48"/>
        <n v="99"/>
        <n v="33"/>
        <n v="25"/>
        <n v="79"/>
        <n v="94"/>
        <n v="95"/>
        <n v="59"/>
        <n v="36"/>
        <n v="60"/>
        <n v="81"/>
        <n v="63"/>
        <n v="38"/>
        <n v="78"/>
        <n v="97"/>
        <n v="77"/>
        <n v="43"/>
        <n v="12"/>
        <n v="4"/>
        <n v="58"/>
        <n v="23"/>
        <n v="41"/>
        <n v="28"/>
        <n v="64"/>
        <n v="100"/>
        <n v="61"/>
        <n v="3"/>
        <n v="16"/>
        <n v="67"/>
        <n v="32"/>
        <n v="17"/>
        <n v="80"/>
        <n v="29"/>
        <n v="5"/>
        <n v="39"/>
        <n v="98"/>
      </sharedItems>
    </cacheField>
    <cacheField name="Rating" numFmtId="0">
      <sharedItems containsSemiMixedTypes="0" containsString="0" containsNumber="1" containsInteger="1" minValue="1" maxValue="10" count="10">
        <n v="7"/>
        <n v="3"/>
        <n v="1"/>
        <n v="4"/>
        <n v="5"/>
        <n v="6"/>
        <n v="8"/>
        <n v="10"/>
        <n v="2"/>
        <n v="9"/>
      </sharedItems>
    </cacheField>
    <cacheField name="OTT" numFmtId="0">
      <sharedItems count="9">
        <s v="Amazon Prime"/>
        <s v="Aha"/>
        <s v="Netflix"/>
        <s v="ZEE"/>
        <s v="HotStar"/>
        <s v="SunNext"/>
        <s v="TeleGram"/>
        <s v="Youtube"/>
        <s v="ThopTV"/>
      </sharedItems>
    </cacheField>
    <cacheField name="Type" numFmtId="0">
      <sharedItems/>
    </cacheField>
    <cacheField name="Status" numFmtId="0">
      <sharedItems count="3">
        <s v="Hit"/>
        <s v="Flop"/>
        <s v="SuperHit"/>
      </sharedItems>
    </cacheField>
    <cacheField name="Run_Days" numFmtId="0">
      <sharedItems containsSemiMixedTypes="0" containsString="0" containsNumber="1" containsInteger="1" minValue="10" maxValue="179"/>
    </cacheField>
    <cacheField name="Director" numFmtId="0">
      <sharedItems count="10">
        <s v="Sukumar"/>
        <s v="Rajamouli"/>
        <s v="TRIVIKRAM"/>
        <s v="Maruthi"/>
        <s v="RGV"/>
        <s v="Puri"/>
        <s v="Atli"/>
        <s v="Shankar"/>
        <s v="Raghava"/>
        <s v="Sekar kammula"/>
      </sharedItems>
    </cacheField>
    <cacheField name="Langauges" numFmtId="0">
      <sharedItems count="9">
        <s v="English"/>
        <s v="Tamil"/>
        <s v="Hindi"/>
        <s v="Kannada"/>
        <s v="null"/>
        <s v="Malayalam"/>
        <s v="Telugu"/>
        <s v="Korean"/>
        <s v="Japanese"/>
      </sharedItems>
    </cacheField>
    <cacheField name="9) . Directors" numFmtId="0">
      <sharedItems/>
    </cacheField>
    <cacheField name="10 ans) SNI" numFmtId="0">
      <sharedItems count="3">
        <s v="Blockbuster"/>
        <s v="Not Successful"/>
        <s v="Average"/>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35">
  <r>
    <x v="0"/>
    <x v="0"/>
    <x v="0"/>
    <x v="0"/>
    <x v="0"/>
    <x v="0"/>
    <x v="0"/>
    <n v="693"/>
  </r>
  <r>
    <x v="1"/>
    <x v="1"/>
    <x v="0"/>
    <x v="1"/>
    <x v="0"/>
    <x v="1"/>
    <x v="1"/>
    <n v="232"/>
  </r>
  <r>
    <x v="2"/>
    <x v="2"/>
    <x v="0"/>
    <x v="2"/>
    <x v="0"/>
    <x v="2"/>
    <x v="2"/>
    <n v="192"/>
  </r>
  <r>
    <x v="3"/>
    <x v="2"/>
    <x v="0"/>
    <x v="2"/>
    <x v="0"/>
    <x v="2"/>
    <x v="2"/>
    <n v="192"/>
  </r>
  <r>
    <x v="4"/>
    <x v="3"/>
    <x v="0"/>
    <x v="3"/>
    <x v="1"/>
    <x v="3"/>
    <x v="3"/>
    <n v="500"/>
  </r>
  <r>
    <x v="5"/>
    <x v="3"/>
    <x v="1"/>
    <x v="0"/>
    <x v="1"/>
    <x v="4"/>
    <x v="4"/>
    <n v="530"/>
  </r>
  <r>
    <x v="6"/>
    <x v="3"/>
    <x v="1"/>
    <x v="0"/>
    <x v="1"/>
    <x v="4"/>
    <x v="4"/>
    <n v="530"/>
  </r>
  <r>
    <x v="7"/>
    <x v="1"/>
    <x v="1"/>
    <x v="0"/>
    <x v="1"/>
    <x v="5"/>
    <x v="5"/>
    <n v="435"/>
  </r>
  <r>
    <x v="8"/>
    <x v="4"/>
    <x v="0"/>
    <x v="4"/>
    <x v="1"/>
    <x v="0"/>
    <x v="6"/>
    <n v="583"/>
  </r>
  <r>
    <x v="2"/>
    <x v="2"/>
    <x v="1"/>
    <x v="1"/>
    <x v="1"/>
    <x v="6"/>
    <x v="7"/>
    <n v="64"/>
  </r>
  <r>
    <x v="9"/>
    <x v="2"/>
    <x v="1"/>
    <x v="1"/>
    <x v="1"/>
    <x v="6"/>
    <x v="7"/>
    <n v="64"/>
  </r>
  <r>
    <x v="10"/>
    <x v="0"/>
    <x v="2"/>
    <x v="2"/>
    <x v="2"/>
    <x v="7"/>
    <x v="8"/>
    <n v="143"/>
  </r>
  <r>
    <x v="11"/>
    <x v="0"/>
    <x v="2"/>
    <x v="2"/>
    <x v="2"/>
    <x v="7"/>
    <x v="8"/>
    <n v="143"/>
  </r>
  <r>
    <x v="12"/>
    <x v="1"/>
    <x v="0"/>
    <x v="5"/>
    <x v="2"/>
    <x v="8"/>
    <x v="6"/>
    <n v="711"/>
  </r>
  <r>
    <x v="13"/>
    <x v="4"/>
    <x v="2"/>
    <x v="1"/>
    <x v="2"/>
    <x v="9"/>
    <x v="9"/>
    <n v="268"/>
  </r>
  <r>
    <x v="2"/>
    <x v="3"/>
    <x v="0"/>
    <x v="2"/>
    <x v="3"/>
    <x v="10"/>
    <x v="10"/>
    <n v="200"/>
  </r>
  <r>
    <x v="14"/>
    <x v="3"/>
    <x v="0"/>
    <x v="4"/>
    <x v="3"/>
    <x v="11"/>
    <x v="11"/>
    <n v="90"/>
  </r>
  <r>
    <x v="15"/>
    <x v="3"/>
    <x v="0"/>
    <x v="4"/>
    <x v="3"/>
    <x v="11"/>
    <x v="11"/>
    <n v="90"/>
  </r>
  <r>
    <x v="16"/>
    <x v="4"/>
    <x v="3"/>
    <x v="1"/>
    <x v="3"/>
    <x v="12"/>
    <x v="12"/>
    <n v="407"/>
  </r>
  <r>
    <x v="2"/>
    <x v="3"/>
    <x v="0"/>
    <x v="0"/>
    <x v="4"/>
    <x v="13"/>
    <x v="13"/>
    <n v="590"/>
  </r>
  <r>
    <x v="0"/>
    <x v="1"/>
    <x v="0"/>
    <x v="5"/>
    <x v="4"/>
    <x v="14"/>
    <x v="14"/>
    <n v="247"/>
  </r>
  <r>
    <x v="17"/>
    <x v="2"/>
    <x v="2"/>
    <x v="0"/>
    <x v="4"/>
    <x v="15"/>
    <x v="15"/>
    <n v="184"/>
  </r>
  <r>
    <x v="18"/>
    <x v="2"/>
    <x v="1"/>
    <x v="4"/>
    <x v="4"/>
    <x v="8"/>
    <x v="16"/>
    <n v="392"/>
  </r>
  <r>
    <x v="19"/>
    <x v="3"/>
    <x v="0"/>
    <x v="0"/>
    <x v="5"/>
    <x v="16"/>
    <x v="17"/>
    <n v="400"/>
  </r>
  <r>
    <x v="20"/>
    <x v="3"/>
    <x v="0"/>
    <x v="0"/>
    <x v="5"/>
    <x v="16"/>
    <x v="17"/>
    <n v="400"/>
  </r>
  <r>
    <x v="21"/>
    <x v="1"/>
    <x v="2"/>
    <x v="3"/>
    <x v="5"/>
    <x v="17"/>
    <x v="18"/>
    <n v="885"/>
  </r>
  <r>
    <x v="22"/>
    <x v="0"/>
    <x v="0"/>
    <x v="3"/>
    <x v="6"/>
    <x v="13"/>
    <x v="19"/>
    <n v="649"/>
  </r>
  <r>
    <x v="23"/>
    <x v="0"/>
    <x v="0"/>
    <x v="3"/>
    <x v="6"/>
    <x v="13"/>
    <x v="19"/>
    <n v="649"/>
  </r>
  <r>
    <x v="24"/>
    <x v="2"/>
    <x v="1"/>
    <x v="2"/>
    <x v="6"/>
    <x v="18"/>
    <x v="20"/>
    <n v="96"/>
  </r>
  <r>
    <x v="23"/>
    <x v="2"/>
    <x v="1"/>
    <x v="2"/>
    <x v="6"/>
    <x v="18"/>
    <x v="20"/>
    <n v="96"/>
  </r>
  <r>
    <x v="0"/>
    <x v="3"/>
    <x v="2"/>
    <x v="4"/>
    <x v="7"/>
    <x v="19"/>
    <x v="21"/>
    <n v="70"/>
  </r>
  <r>
    <x v="25"/>
    <x v="0"/>
    <x v="2"/>
    <x v="3"/>
    <x v="7"/>
    <x v="10"/>
    <x v="22"/>
    <n v="220"/>
  </r>
  <r>
    <x v="9"/>
    <x v="0"/>
    <x v="2"/>
    <x v="3"/>
    <x v="7"/>
    <x v="10"/>
    <x v="22"/>
    <n v="220"/>
  </r>
  <r>
    <x v="26"/>
    <x v="0"/>
    <x v="3"/>
    <x v="5"/>
    <x v="7"/>
    <x v="20"/>
    <x v="23"/>
    <n v="572"/>
  </r>
  <r>
    <x v="17"/>
    <x v="1"/>
    <x v="0"/>
    <x v="3"/>
    <x v="7"/>
    <x v="21"/>
    <x v="24"/>
    <n v="841"/>
  </r>
  <r>
    <x v="5"/>
    <x v="1"/>
    <x v="3"/>
    <x v="2"/>
    <x v="7"/>
    <x v="9"/>
    <x v="25"/>
    <n v="421"/>
  </r>
  <r>
    <x v="27"/>
    <x v="4"/>
    <x v="1"/>
    <x v="3"/>
    <x v="7"/>
    <x v="22"/>
    <x v="26"/>
    <n v="574"/>
  </r>
  <r>
    <x v="25"/>
    <x v="2"/>
    <x v="0"/>
    <x v="0"/>
    <x v="7"/>
    <x v="23"/>
    <x v="27"/>
    <n v="304"/>
  </r>
  <r>
    <x v="16"/>
    <x v="3"/>
    <x v="1"/>
    <x v="0"/>
    <x v="8"/>
    <x v="17"/>
    <x v="28"/>
    <n v="610"/>
  </r>
  <r>
    <x v="27"/>
    <x v="2"/>
    <x v="3"/>
    <x v="5"/>
    <x v="8"/>
    <x v="24"/>
    <x v="29"/>
    <n v="408"/>
  </r>
  <r>
    <x v="28"/>
    <x v="2"/>
    <x v="3"/>
    <x v="5"/>
    <x v="8"/>
    <x v="24"/>
    <x v="29"/>
    <n v="408"/>
  </r>
  <r>
    <x v="29"/>
    <x v="0"/>
    <x v="2"/>
    <x v="2"/>
    <x v="9"/>
    <x v="18"/>
    <x v="30"/>
    <n v="132"/>
  </r>
  <r>
    <x v="30"/>
    <x v="0"/>
    <x v="2"/>
    <x v="2"/>
    <x v="9"/>
    <x v="18"/>
    <x v="30"/>
    <n v="132"/>
  </r>
  <r>
    <x v="17"/>
    <x v="4"/>
    <x v="3"/>
    <x v="0"/>
    <x v="9"/>
    <x v="7"/>
    <x v="31"/>
    <n v="120"/>
  </r>
  <r>
    <x v="21"/>
    <x v="2"/>
    <x v="2"/>
    <x v="2"/>
    <x v="9"/>
    <x v="13"/>
    <x v="32"/>
    <n v="472"/>
  </r>
  <r>
    <x v="21"/>
    <x v="1"/>
    <x v="0"/>
    <x v="2"/>
    <x v="10"/>
    <x v="22"/>
    <x v="33"/>
    <n v="899"/>
  </r>
  <r>
    <x v="31"/>
    <x v="1"/>
    <x v="0"/>
    <x v="2"/>
    <x v="10"/>
    <x v="22"/>
    <x v="33"/>
    <n v="899"/>
  </r>
  <r>
    <x v="32"/>
    <x v="1"/>
    <x v="1"/>
    <x v="3"/>
    <x v="10"/>
    <x v="1"/>
    <x v="1"/>
    <n v="232"/>
  </r>
  <r>
    <x v="10"/>
    <x v="1"/>
    <x v="1"/>
    <x v="4"/>
    <x v="10"/>
    <x v="0"/>
    <x v="34"/>
    <n v="914"/>
  </r>
  <r>
    <x v="24"/>
    <x v="0"/>
    <x v="1"/>
    <x v="2"/>
    <x v="11"/>
    <x v="25"/>
    <x v="35"/>
    <n v="660"/>
  </r>
  <r>
    <x v="33"/>
    <x v="0"/>
    <x v="1"/>
    <x v="2"/>
    <x v="11"/>
    <x v="25"/>
    <x v="35"/>
    <n v="660"/>
  </r>
  <r>
    <x v="12"/>
    <x v="1"/>
    <x v="0"/>
    <x v="2"/>
    <x v="12"/>
    <x v="26"/>
    <x v="36"/>
    <n v="203"/>
  </r>
  <r>
    <x v="34"/>
    <x v="1"/>
    <x v="0"/>
    <x v="2"/>
    <x v="12"/>
    <x v="26"/>
    <x v="36"/>
    <n v="203"/>
  </r>
  <r>
    <x v="17"/>
    <x v="1"/>
    <x v="1"/>
    <x v="4"/>
    <x v="12"/>
    <x v="27"/>
    <x v="37"/>
    <n v="812"/>
  </r>
  <r>
    <x v="35"/>
    <x v="4"/>
    <x v="2"/>
    <x v="4"/>
    <x v="12"/>
    <x v="28"/>
    <x v="38"/>
    <n v="176"/>
  </r>
  <r>
    <x v="36"/>
    <x v="0"/>
    <x v="0"/>
    <x v="2"/>
    <x v="13"/>
    <x v="29"/>
    <x v="39"/>
    <n v="374"/>
  </r>
  <r>
    <x v="37"/>
    <x v="2"/>
    <x v="2"/>
    <x v="2"/>
    <x v="13"/>
    <x v="30"/>
    <x v="38"/>
    <n v="168"/>
  </r>
  <r>
    <x v="7"/>
    <x v="3"/>
    <x v="3"/>
    <x v="4"/>
    <x v="14"/>
    <x v="2"/>
    <x v="40"/>
    <n v="240"/>
  </r>
  <r>
    <x v="31"/>
    <x v="3"/>
    <x v="3"/>
    <x v="4"/>
    <x v="14"/>
    <x v="2"/>
    <x v="40"/>
    <n v="240"/>
  </r>
  <r>
    <x v="5"/>
    <x v="0"/>
    <x v="3"/>
    <x v="5"/>
    <x v="14"/>
    <x v="9"/>
    <x v="41"/>
    <n v="319"/>
  </r>
  <r>
    <x v="27"/>
    <x v="1"/>
    <x v="3"/>
    <x v="4"/>
    <x v="14"/>
    <x v="27"/>
    <x v="37"/>
    <n v="812"/>
  </r>
  <r>
    <x v="38"/>
    <x v="1"/>
    <x v="3"/>
    <x v="4"/>
    <x v="14"/>
    <x v="27"/>
    <x v="37"/>
    <n v="812"/>
  </r>
  <r>
    <x v="0"/>
    <x v="1"/>
    <x v="1"/>
    <x v="5"/>
    <x v="14"/>
    <x v="31"/>
    <x v="42"/>
    <n v="943"/>
  </r>
  <r>
    <x v="16"/>
    <x v="3"/>
    <x v="0"/>
    <x v="3"/>
    <x v="15"/>
    <x v="14"/>
    <x v="43"/>
    <n v="170"/>
  </r>
  <r>
    <x v="39"/>
    <x v="0"/>
    <x v="1"/>
    <x v="1"/>
    <x v="15"/>
    <x v="32"/>
    <x v="44"/>
    <n v="198"/>
  </r>
  <r>
    <x v="27"/>
    <x v="0"/>
    <x v="1"/>
    <x v="5"/>
    <x v="16"/>
    <x v="33"/>
    <x v="45"/>
    <n v="165"/>
  </r>
  <r>
    <x v="0"/>
    <x v="4"/>
    <x v="0"/>
    <x v="5"/>
    <x v="17"/>
    <x v="14"/>
    <x v="46"/>
    <n v="157"/>
  </r>
  <r>
    <x v="0"/>
    <x v="4"/>
    <x v="3"/>
    <x v="1"/>
    <x v="17"/>
    <x v="34"/>
    <x v="47"/>
    <n v="435"/>
  </r>
  <r>
    <x v="40"/>
    <x v="4"/>
    <x v="3"/>
    <x v="1"/>
    <x v="17"/>
    <x v="34"/>
    <x v="47"/>
    <n v="435"/>
  </r>
  <r>
    <x v="27"/>
    <x v="0"/>
    <x v="3"/>
    <x v="2"/>
    <x v="18"/>
    <x v="35"/>
    <x v="48"/>
    <n v="506"/>
  </r>
  <r>
    <x v="2"/>
    <x v="4"/>
    <x v="0"/>
    <x v="4"/>
    <x v="18"/>
    <x v="18"/>
    <x v="49"/>
    <n v="111"/>
  </r>
  <r>
    <x v="21"/>
    <x v="3"/>
    <x v="2"/>
    <x v="5"/>
    <x v="19"/>
    <x v="1"/>
    <x v="50"/>
    <n v="160"/>
  </r>
  <r>
    <x v="21"/>
    <x v="0"/>
    <x v="0"/>
    <x v="1"/>
    <x v="19"/>
    <x v="36"/>
    <x v="51"/>
    <n v="429"/>
  </r>
  <r>
    <x v="41"/>
    <x v="0"/>
    <x v="0"/>
    <x v="1"/>
    <x v="19"/>
    <x v="36"/>
    <x v="51"/>
    <n v="429"/>
  </r>
  <r>
    <x v="14"/>
    <x v="1"/>
    <x v="0"/>
    <x v="2"/>
    <x v="19"/>
    <x v="12"/>
    <x v="52"/>
    <n v="638"/>
  </r>
  <r>
    <x v="21"/>
    <x v="1"/>
    <x v="1"/>
    <x v="3"/>
    <x v="19"/>
    <x v="37"/>
    <x v="53"/>
    <n v="145"/>
  </r>
  <r>
    <x v="41"/>
    <x v="1"/>
    <x v="1"/>
    <x v="3"/>
    <x v="19"/>
    <x v="37"/>
    <x v="53"/>
    <n v="145"/>
  </r>
  <r>
    <x v="39"/>
    <x v="1"/>
    <x v="1"/>
    <x v="1"/>
    <x v="19"/>
    <x v="38"/>
    <x v="54"/>
    <n v="928"/>
  </r>
  <r>
    <x v="29"/>
    <x v="4"/>
    <x v="2"/>
    <x v="1"/>
    <x v="19"/>
    <x v="39"/>
    <x v="55"/>
    <n v="204"/>
  </r>
  <r>
    <x v="19"/>
    <x v="2"/>
    <x v="0"/>
    <x v="5"/>
    <x v="19"/>
    <x v="40"/>
    <x v="56"/>
    <n v="336"/>
  </r>
  <r>
    <x v="2"/>
    <x v="2"/>
    <x v="2"/>
    <x v="3"/>
    <x v="19"/>
    <x v="22"/>
    <x v="57"/>
    <n v="496"/>
  </r>
  <r>
    <x v="3"/>
    <x v="2"/>
    <x v="2"/>
    <x v="3"/>
    <x v="19"/>
    <x v="22"/>
    <x v="57"/>
    <n v="496"/>
  </r>
  <r>
    <x v="25"/>
    <x v="2"/>
    <x v="3"/>
    <x v="1"/>
    <x v="19"/>
    <x v="41"/>
    <x v="58"/>
    <n v="48"/>
  </r>
  <r>
    <x v="42"/>
    <x v="2"/>
    <x v="3"/>
    <x v="1"/>
    <x v="19"/>
    <x v="41"/>
    <x v="58"/>
    <n v="48"/>
  </r>
  <r>
    <x v="26"/>
    <x v="3"/>
    <x v="2"/>
    <x v="0"/>
    <x v="20"/>
    <x v="42"/>
    <x v="59"/>
    <n v="570"/>
  </r>
  <r>
    <x v="4"/>
    <x v="1"/>
    <x v="2"/>
    <x v="4"/>
    <x v="20"/>
    <x v="37"/>
    <x v="53"/>
    <n v="145"/>
  </r>
  <r>
    <x v="2"/>
    <x v="1"/>
    <x v="2"/>
    <x v="5"/>
    <x v="20"/>
    <x v="14"/>
    <x v="14"/>
    <n v="247"/>
  </r>
  <r>
    <x v="22"/>
    <x v="3"/>
    <x v="0"/>
    <x v="4"/>
    <x v="21"/>
    <x v="37"/>
    <x v="60"/>
    <n v="100"/>
  </r>
  <r>
    <x v="16"/>
    <x v="3"/>
    <x v="2"/>
    <x v="4"/>
    <x v="21"/>
    <x v="30"/>
    <x v="55"/>
    <n v="210"/>
  </r>
  <r>
    <x v="34"/>
    <x v="3"/>
    <x v="2"/>
    <x v="4"/>
    <x v="21"/>
    <x v="30"/>
    <x v="55"/>
    <n v="210"/>
  </r>
  <r>
    <x v="26"/>
    <x v="3"/>
    <x v="2"/>
    <x v="0"/>
    <x v="21"/>
    <x v="16"/>
    <x v="17"/>
    <n v="400"/>
  </r>
  <r>
    <x v="39"/>
    <x v="2"/>
    <x v="0"/>
    <x v="2"/>
    <x v="21"/>
    <x v="43"/>
    <x v="61"/>
    <n v="432"/>
  </r>
  <r>
    <x v="26"/>
    <x v="2"/>
    <x v="2"/>
    <x v="0"/>
    <x v="21"/>
    <x v="44"/>
    <x v="62"/>
    <n v="264"/>
  </r>
  <r>
    <x v="19"/>
    <x v="3"/>
    <x v="3"/>
    <x v="1"/>
    <x v="22"/>
    <x v="33"/>
    <x v="63"/>
    <n v="150"/>
  </r>
  <r>
    <x v="27"/>
    <x v="3"/>
    <x v="3"/>
    <x v="1"/>
    <x v="22"/>
    <x v="45"/>
    <x v="64"/>
    <n v="250"/>
  </r>
  <r>
    <x v="38"/>
    <x v="3"/>
    <x v="3"/>
    <x v="1"/>
    <x v="22"/>
    <x v="45"/>
    <x v="64"/>
    <n v="250"/>
  </r>
  <r>
    <x v="43"/>
    <x v="0"/>
    <x v="3"/>
    <x v="5"/>
    <x v="22"/>
    <x v="46"/>
    <x v="65"/>
    <n v="341"/>
  </r>
  <r>
    <x v="44"/>
    <x v="0"/>
    <x v="1"/>
    <x v="4"/>
    <x v="22"/>
    <x v="37"/>
    <x v="66"/>
    <n v="110"/>
  </r>
  <r>
    <x v="17"/>
    <x v="2"/>
    <x v="2"/>
    <x v="5"/>
    <x v="22"/>
    <x v="38"/>
    <x v="67"/>
    <n v="512"/>
  </r>
  <r>
    <x v="39"/>
    <x v="2"/>
    <x v="3"/>
    <x v="5"/>
    <x v="22"/>
    <x v="16"/>
    <x v="68"/>
    <n v="320"/>
  </r>
  <r>
    <x v="45"/>
    <x v="3"/>
    <x v="1"/>
    <x v="0"/>
    <x v="23"/>
    <x v="28"/>
    <x v="69"/>
    <n v="190"/>
  </r>
  <r>
    <x v="21"/>
    <x v="1"/>
    <x v="0"/>
    <x v="4"/>
    <x v="23"/>
    <x v="47"/>
    <x v="70"/>
    <n v="624"/>
  </r>
  <r>
    <x v="31"/>
    <x v="1"/>
    <x v="0"/>
    <x v="4"/>
    <x v="23"/>
    <x v="47"/>
    <x v="70"/>
    <n v="624"/>
  </r>
  <r>
    <x v="46"/>
    <x v="3"/>
    <x v="3"/>
    <x v="1"/>
    <x v="24"/>
    <x v="48"/>
    <x v="71"/>
    <n v="350"/>
  </r>
  <r>
    <x v="29"/>
    <x v="3"/>
    <x v="1"/>
    <x v="5"/>
    <x v="24"/>
    <x v="49"/>
    <x v="72"/>
    <n v="270"/>
  </r>
  <r>
    <x v="29"/>
    <x v="4"/>
    <x v="1"/>
    <x v="0"/>
    <x v="24"/>
    <x v="17"/>
    <x v="73"/>
    <n v="564"/>
  </r>
  <r>
    <x v="30"/>
    <x v="4"/>
    <x v="1"/>
    <x v="0"/>
    <x v="24"/>
    <x v="17"/>
    <x v="73"/>
    <n v="564"/>
  </r>
  <r>
    <x v="14"/>
    <x v="2"/>
    <x v="3"/>
    <x v="3"/>
    <x v="24"/>
    <x v="8"/>
    <x v="16"/>
    <n v="392"/>
  </r>
  <r>
    <x v="17"/>
    <x v="3"/>
    <x v="3"/>
    <x v="5"/>
    <x v="25"/>
    <x v="50"/>
    <x v="74"/>
    <n v="110"/>
  </r>
  <r>
    <x v="0"/>
    <x v="4"/>
    <x v="0"/>
    <x v="4"/>
    <x v="25"/>
    <x v="49"/>
    <x v="75"/>
    <n v="250"/>
  </r>
  <r>
    <x v="0"/>
    <x v="2"/>
    <x v="3"/>
    <x v="3"/>
    <x v="25"/>
    <x v="5"/>
    <x v="76"/>
    <n v="240"/>
  </r>
  <r>
    <x v="18"/>
    <x v="1"/>
    <x v="3"/>
    <x v="1"/>
    <x v="26"/>
    <x v="45"/>
    <x v="77"/>
    <n v="363"/>
  </r>
  <r>
    <x v="24"/>
    <x v="4"/>
    <x v="3"/>
    <x v="0"/>
    <x v="26"/>
    <x v="42"/>
    <x v="78"/>
    <n v="527"/>
  </r>
  <r>
    <x v="0"/>
    <x v="2"/>
    <x v="2"/>
    <x v="5"/>
    <x v="26"/>
    <x v="6"/>
    <x v="7"/>
    <n v="64"/>
  </r>
  <r>
    <x v="18"/>
    <x v="2"/>
    <x v="3"/>
    <x v="1"/>
    <x v="26"/>
    <x v="15"/>
    <x v="15"/>
    <n v="184"/>
  </r>
  <r>
    <x v="19"/>
    <x v="3"/>
    <x v="3"/>
    <x v="3"/>
    <x v="27"/>
    <x v="51"/>
    <x v="79"/>
    <n v="260"/>
  </r>
  <r>
    <x v="19"/>
    <x v="0"/>
    <x v="0"/>
    <x v="2"/>
    <x v="27"/>
    <x v="23"/>
    <x v="80"/>
    <n v="418"/>
  </r>
  <r>
    <x v="20"/>
    <x v="0"/>
    <x v="0"/>
    <x v="2"/>
    <x v="27"/>
    <x v="23"/>
    <x v="80"/>
    <n v="418"/>
  </r>
  <r>
    <x v="25"/>
    <x v="4"/>
    <x v="3"/>
    <x v="0"/>
    <x v="27"/>
    <x v="15"/>
    <x v="81"/>
    <n v="213"/>
  </r>
  <r>
    <x v="35"/>
    <x v="3"/>
    <x v="3"/>
    <x v="3"/>
    <x v="28"/>
    <x v="19"/>
    <x v="21"/>
    <n v="70"/>
  </r>
  <r>
    <x v="5"/>
    <x v="3"/>
    <x v="1"/>
    <x v="5"/>
    <x v="28"/>
    <x v="41"/>
    <x v="82"/>
    <n v="60"/>
  </r>
  <r>
    <x v="6"/>
    <x v="3"/>
    <x v="1"/>
    <x v="5"/>
    <x v="28"/>
    <x v="41"/>
    <x v="82"/>
    <n v="60"/>
  </r>
  <r>
    <x v="14"/>
    <x v="1"/>
    <x v="0"/>
    <x v="0"/>
    <x v="28"/>
    <x v="39"/>
    <x v="72"/>
    <n v="319"/>
  </r>
  <r>
    <x v="29"/>
    <x v="4"/>
    <x v="1"/>
    <x v="0"/>
    <x v="28"/>
    <x v="4"/>
    <x v="83"/>
    <n v="490"/>
  </r>
  <r>
    <x v="43"/>
    <x v="3"/>
    <x v="2"/>
    <x v="1"/>
    <x v="29"/>
    <x v="27"/>
    <x v="84"/>
    <n v="560"/>
  </r>
  <r>
    <x v="47"/>
    <x v="3"/>
    <x v="2"/>
    <x v="1"/>
    <x v="29"/>
    <x v="27"/>
    <x v="84"/>
    <n v="560"/>
  </r>
  <r>
    <x v="5"/>
    <x v="3"/>
    <x v="1"/>
    <x v="1"/>
    <x v="29"/>
    <x v="48"/>
    <x v="71"/>
    <n v="350"/>
  </r>
  <r>
    <x v="2"/>
    <x v="0"/>
    <x v="3"/>
    <x v="5"/>
    <x v="29"/>
    <x v="4"/>
    <x v="85"/>
    <n v="583"/>
  </r>
  <r>
    <x v="27"/>
    <x v="1"/>
    <x v="2"/>
    <x v="5"/>
    <x v="29"/>
    <x v="40"/>
    <x v="86"/>
    <n v="609"/>
  </r>
  <r>
    <x v="27"/>
    <x v="1"/>
    <x v="3"/>
    <x v="2"/>
    <x v="29"/>
    <x v="12"/>
    <x v="52"/>
    <n v="638"/>
  </r>
  <r>
    <x v="38"/>
    <x v="1"/>
    <x v="3"/>
    <x v="2"/>
    <x v="29"/>
    <x v="12"/>
    <x v="52"/>
    <n v="638"/>
  </r>
  <r>
    <x v="8"/>
    <x v="2"/>
    <x v="2"/>
    <x v="3"/>
    <x v="29"/>
    <x v="50"/>
    <x v="87"/>
    <n v="88"/>
  </r>
  <r>
    <x v="48"/>
    <x v="2"/>
    <x v="2"/>
    <x v="3"/>
    <x v="29"/>
    <x v="50"/>
    <x v="87"/>
    <n v="88"/>
  </r>
  <r>
    <x v="22"/>
    <x v="2"/>
    <x v="1"/>
    <x v="1"/>
    <x v="29"/>
    <x v="21"/>
    <x v="88"/>
    <n v="464"/>
  </r>
  <r>
    <x v="27"/>
    <x v="4"/>
    <x v="0"/>
    <x v="5"/>
    <x v="30"/>
    <x v="52"/>
    <x v="89"/>
    <n v="333"/>
  </r>
</pivotCacheRecords>
</file>

<file path=xl/pivotCache/pivotCacheRecords2.xml><?xml version="1.0" encoding="utf-8"?>
<pivotCacheRecords xmlns="http://schemas.openxmlformats.org/spreadsheetml/2006/main" xmlns:r="http://schemas.openxmlformats.org/officeDocument/2006/relationships" count="135">
  <r>
    <d v="2011-01-10T00:00:00"/>
    <x v="0"/>
    <x v="0"/>
    <n v="1449"/>
    <x v="0"/>
    <x v="0"/>
    <x v="0"/>
    <n v="63"/>
    <n v="1449"/>
    <n v="693"/>
    <n v="72"/>
    <n v="70"/>
    <n v="60"/>
    <n v="61"/>
    <x v="0"/>
    <x v="0"/>
  </r>
  <r>
    <d v="2011-01-01T00:00:00"/>
    <x v="1"/>
    <x v="0"/>
    <n v="432"/>
    <x v="0"/>
    <x v="1"/>
    <x v="1"/>
    <n v="16"/>
    <n v="432"/>
    <n v="234"/>
    <n v="97"/>
    <n v="65"/>
    <n v="87"/>
    <n v="92"/>
    <x v="1"/>
    <x v="0"/>
  </r>
  <r>
    <d v="2011-01-18T00:00:00"/>
    <x v="2"/>
    <x v="0"/>
    <n v="456"/>
    <x v="0"/>
    <x v="2"/>
    <x v="2"/>
    <n v="24"/>
    <n v="456"/>
    <n v="234"/>
    <n v="95"/>
    <n v="95"/>
    <n v="100"/>
    <n v="86"/>
    <x v="2"/>
    <x v="0"/>
  </r>
  <r>
    <d v="2011-03-04T00:00:00"/>
    <x v="2"/>
    <x v="0"/>
    <n v="456"/>
    <x v="0"/>
    <x v="2"/>
    <x v="3"/>
    <n v="24"/>
    <n v="456"/>
    <n v="192"/>
    <n v="81"/>
    <n v="74"/>
    <n v="89"/>
    <n v="81"/>
    <x v="3"/>
    <x v="1"/>
  </r>
  <r>
    <d v="2011-01-29T00:00:00"/>
    <x v="3"/>
    <x v="0"/>
    <n v="1100"/>
    <x v="0"/>
    <x v="3"/>
    <x v="4"/>
    <n v="50"/>
    <n v="1100"/>
    <n v="500"/>
    <n v="81"/>
    <n v="68"/>
    <n v="63"/>
    <n v="82"/>
    <x v="4"/>
    <x v="1"/>
  </r>
  <r>
    <d v="2011-01-22T00:00:00"/>
    <x v="3"/>
    <x v="1"/>
    <n v="1166"/>
    <x v="0"/>
    <x v="0"/>
    <x v="5"/>
    <n v="53"/>
    <n v="1166"/>
    <n v="530"/>
    <n v="91"/>
    <n v="65"/>
    <n v="66"/>
    <n v="61"/>
    <x v="5"/>
    <x v="0"/>
  </r>
  <r>
    <d v="2011-03-08T00:00:00"/>
    <x v="3"/>
    <x v="1"/>
    <n v="1166"/>
    <x v="0"/>
    <x v="0"/>
    <x v="5"/>
    <n v="53"/>
    <n v="1166"/>
    <n v="530"/>
    <n v="92"/>
    <n v="79"/>
    <n v="98"/>
    <n v="61"/>
    <x v="6"/>
    <x v="1"/>
  </r>
  <r>
    <d v="2011-01-02T00:00:00"/>
    <x v="1"/>
    <x v="1"/>
    <n v="810"/>
    <x v="0"/>
    <x v="0"/>
    <x v="6"/>
    <n v="30"/>
    <n v="810"/>
    <n v="435"/>
    <n v="74"/>
    <n v="60"/>
    <n v="94"/>
    <n v="97"/>
    <x v="3"/>
    <x v="0"/>
  </r>
  <r>
    <d v="2011-01-15T00:00:00"/>
    <x v="4"/>
    <x v="0"/>
    <n v="1323"/>
    <x v="0"/>
    <x v="4"/>
    <x v="5"/>
    <n v="63"/>
    <n v="1323"/>
    <n v="583"/>
    <n v="81"/>
    <n v="70"/>
    <n v="67"/>
    <n v="85"/>
    <x v="7"/>
    <x v="0"/>
  </r>
  <r>
    <d v="2011-01-18T00:00:00"/>
    <x v="2"/>
    <x v="1"/>
    <n v="152"/>
    <x v="0"/>
    <x v="1"/>
    <x v="7"/>
    <n v="8"/>
    <n v="152"/>
    <n v="64"/>
    <n v="83"/>
    <n v="62"/>
    <n v="93"/>
    <n v="100"/>
    <x v="8"/>
    <x v="0"/>
  </r>
  <r>
    <d v="2011-02-17T00:00:00"/>
    <x v="2"/>
    <x v="1"/>
    <n v="152"/>
    <x v="0"/>
    <x v="1"/>
    <x v="5"/>
    <n v="8"/>
    <n v="152"/>
    <n v="64"/>
    <n v="76"/>
    <n v="70"/>
    <n v="89"/>
    <n v="60"/>
    <x v="9"/>
    <x v="1"/>
  </r>
  <r>
    <d v="2011-01-24T00:00:00"/>
    <x v="0"/>
    <x v="2"/>
    <n v="299"/>
    <x v="1"/>
    <x v="2"/>
    <x v="8"/>
    <n v="13"/>
    <n v="299"/>
    <n v="143"/>
    <n v="67"/>
    <n v="60"/>
    <n v="69"/>
    <n v="68"/>
    <x v="10"/>
    <x v="1"/>
  </r>
  <r>
    <d v="2011-03-10T00:00:00"/>
    <x v="0"/>
    <x v="2"/>
    <n v="299"/>
    <x v="1"/>
    <x v="2"/>
    <x v="8"/>
    <n v="13"/>
    <n v="299"/>
    <n v="143"/>
    <n v="100"/>
    <n v="68"/>
    <n v="74"/>
    <n v="100"/>
    <x v="11"/>
    <x v="0"/>
  </r>
  <r>
    <d v="2011-01-11T00:00:00"/>
    <x v="1"/>
    <x v="0"/>
    <n v="1323"/>
    <x v="0"/>
    <x v="5"/>
    <x v="8"/>
    <n v="49"/>
    <n v="1323"/>
    <n v="711"/>
    <n v="82"/>
    <n v="70"/>
    <n v="70"/>
    <n v="94"/>
    <x v="12"/>
    <x v="1"/>
  </r>
  <r>
    <d v="2011-01-04T00:00:00"/>
    <x v="4"/>
    <x v="2"/>
    <n v="609"/>
    <x v="1"/>
    <x v="1"/>
    <x v="8"/>
    <n v="29"/>
    <n v="609"/>
    <n v="268"/>
    <n v="89"/>
    <n v="61"/>
    <n v="83"/>
    <n v="99"/>
    <x v="13"/>
    <x v="0"/>
  </r>
  <r>
    <d v="2011-01-18T00:00:00"/>
    <x v="3"/>
    <x v="0"/>
    <n v="440"/>
    <x v="0"/>
    <x v="2"/>
    <x v="9"/>
    <n v="20"/>
    <n v="440"/>
    <n v="200"/>
    <n v="93"/>
    <n v="87"/>
    <n v="78"/>
    <n v="75"/>
    <x v="14"/>
    <x v="1"/>
  </r>
  <r>
    <d v="2011-01-23T00:00:00"/>
    <x v="3"/>
    <x v="0"/>
    <n v="198"/>
    <x v="0"/>
    <x v="4"/>
    <x v="9"/>
    <n v="9"/>
    <n v="198"/>
    <n v="90"/>
    <n v="71"/>
    <n v="71"/>
    <n v="88"/>
    <n v="77"/>
    <x v="15"/>
    <x v="1"/>
  </r>
  <r>
    <d v="2011-03-09T00:00:00"/>
    <x v="3"/>
    <x v="0"/>
    <n v="198"/>
    <x v="0"/>
    <x v="4"/>
    <x v="9"/>
    <n v="9"/>
    <n v="198"/>
    <n v="90"/>
    <n v="67"/>
    <n v="99"/>
    <n v="94"/>
    <n v="87"/>
    <x v="16"/>
    <x v="1"/>
  </r>
  <r>
    <d v="2011-01-26T00:00:00"/>
    <x v="4"/>
    <x v="3"/>
    <n v="924"/>
    <x v="1"/>
    <x v="1"/>
    <x v="9"/>
    <n v="44"/>
    <n v="924"/>
    <n v="407"/>
    <n v="85"/>
    <n v="82"/>
    <n v="74"/>
    <n v="63"/>
    <x v="17"/>
    <x v="0"/>
  </r>
  <r>
    <d v="2011-01-18T00:00:00"/>
    <x v="3"/>
    <x v="0"/>
    <n v="1298"/>
    <x v="0"/>
    <x v="0"/>
    <x v="10"/>
    <n v="59"/>
    <n v="1298"/>
    <n v="590"/>
    <n v="96"/>
    <n v="91"/>
    <n v="89"/>
    <n v="64"/>
    <x v="18"/>
    <x v="0"/>
  </r>
  <r>
    <d v="2011-01-10T00:00:00"/>
    <x v="1"/>
    <x v="0"/>
    <n v="459"/>
    <x v="0"/>
    <x v="5"/>
    <x v="10"/>
    <n v="17"/>
    <n v="459"/>
    <n v="247"/>
    <n v="72"/>
    <n v="97"/>
    <n v="66"/>
    <n v="62"/>
    <x v="19"/>
    <x v="0"/>
  </r>
  <r>
    <d v="2011-01-21T00:00:00"/>
    <x v="2"/>
    <x v="2"/>
    <n v="437"/>
    <x v="1"/>
    <x v="0"/>
    <x v="10"/>
    <n v="23"/>
    <n v="437"/>
    <n v="184"/>
    <n v="85"/>
    <n v="82"/>
    <n v="64"/>
    <n v="88"/>
    <x v="20"/>
    <x v="1"/>
  </r>
  <r>
    <d v="2011-01-30T00:00:00"/>
    <x v="2"/>
    <x v="1"/>
    <n v="931"/>
    <x v="0"/>
    <x v="4"/>
    <x v="10"/>
    <n v="49"/>
    <n v="931"/>
    <n v="392"/>
    <n v="87"/>
    <n v="85"/>
    <n v="93"/>
    <n v="73"/>
    <x v="8"/>
    <x v="1"/>
  </r>
  <r>
    <d v="2011-01-09T00:00:00"/>
    <x v="3"/>
    <x v="0"/>
    <n v="880"/>
    <x v="0"/>
    <x v="0"/>
    <x v="11"/>
    <n v="40"/>
    <n v="880"/>
    <n v="400"/>
    <n v="75"/>
    <n v="93"/>
    <n v="80"/>
    <n v="87"/>
    <x v="21"/>
    <x v="0"/>
  </r>
  <r>
    <d v="2011-02-23T00:00:00"/>
    <x v="3"/>
    <x v="0"/>
    <n v="880"/>
    <x v="0"/>
    <x v="0"/>
    <x v="11"/>
    <n v="40"/>
    <n v="880"/>
    <n v="400"/>
    <n v="71"/>
    <n v="98"/>
    <n v="92"/>
    <n v="85"/>
    <x v="22"/>
    <x v="1"/>
  </r>
  <r>
    <d v="2011-01-17T00:00:00"/>
    <x v="1"/>
    <x v="2"/>
    <n v="1647"/>
    <x v="1"/>
    <x v="3"/>
    <x v="11"/>
    <n v="61"/>
    <n v="1647"/>
    <n v="885"/>
    <n v="89"/>
    <n v="72"/>
    <n v="73"/>
    <n v="81"/>
    <x v="23"/>
    <x v="0"/>
  </r>
  <r>
    <d v="2011-01-20T00:00:00"/>
    <x v="0"/>
    <x v="0"/>
    <n v="1357"/>
    <x v="0"/>
    <x v="3"/>
    <x v="12"/>
    <n v="59"/>
    <n v="1357"/>
    <n v="649"/>
    <n v="98"/>
    <n v="60"/>
    <n v="76"/>
    <n v="88"/>
    <x v="24"/>
    <x v="0"/>
  </r>
  <r>
    <d v="2011-02-19T00:00:00"/>
    <x v="0"/>
    <x v="0"/>
    <n v="1357"/>
    <x v="0"/>
    <x v="3"/>
    <x v="12"/>
    <n v="59"/>
    <n v="1357"/>
    <n v="649"/>
    <n v="78"/>
    <n v="80"/>
    <n v="87"/>
    <n v="99"/>
    <x v="25"/>
    <x v="0"/>
  </r>
  <r>
    <d v="2011-01-05T00:00:00"/>
    <x v="2"/>
    <x v="1"/>
    <n v="228"/>
    <x v="0"/>
    <x v="2"/>
    <x v="12"/>
    <n v="12"/>
    <n v="228"/>
    <n v="96"/>
    <n v="79"/>
    <n v="75"/>
    <n v="70"/>
    <n v="65"/>
    <x v="26"/>
    <x v="1"/>
  </r>
  <r>
    <d v="2011-02-19T00:00:00"/>
    <x v="2"/>
    <x v="1"/>
    <n v="228"/>
    <x v="0"/>
    <x v="2"/>
    <x v="12"/>
    <n v="12"/>
    <n v="228"/>
    <n v="96"/>
    <n v="60"/>
    <n v="63"/>
    <n v="68"/>
    <n v="94"/>
    <x v="27"/>
    <x v="1"/>
  </r>
  <r>
    <d v="2011-01-10T00:00:00"/>
    <x v="3"/>
    <x v="2"/>
    <n v="154"/>
    <x v="1"/>
    <x v="4"/>
    <x v="13"/>
    <n v="7"/>
    <n v="154"/>
    <n v="70"/>
    <n v="60"/>
    <n v="81"/>
    <n v="60"/>
    <n v="63"/>
    <x v="10"/>
    <x v="0"/>
  </r>
  <r>
    <d v="2011-01-03T00:00:00"/>
    <x v="0"/>
    <x v="2"/>
    <n v="460"/>
    <x v="1"/>
    <x v="3"/>
    <x v="13"/>
    <n v="20"/>
    <n v="460"/>
    <n v="220"/>
    <n v="63"/>
    <n v="63"/>
    <n v="93"/>
    <n v="96"/>
    <x v="23"/>
    <x v="1"/>
  </r>
  <r>
    <d v="2011-02-17T00:00:00"/>
    <x v="0"/>
    <x v="2"/>
    <n v="460"/>
    <x v="1"/>
    <x v="3"/>
    <x v="13"/>
    <n v="20"/>
    <n v="460"/>
    <n v="220"/>
    <n v="79"/>
    <n v="87"/>
    <n v="92"/>
    <n v="90"/>
    <x v="28"/>
    <x v="0"/>
  </r>
  <r>
    <d v="2011-01-13T00:00:00"/>
    <x v="0"/>
    <x v="3"/>
    <n v="1196"/>
    <x v="1"/>
    <x v="5"/>
    <x v="13"/>
    <n v="52"/>
    <n v="1196"/>
    <n v="572"/>
    <n v="64"/>
    <n v="93"/>
    <n v="90"/>
    <n v="94"/>
    <x v="1"/>
    <x v="1"/>
  </r>
  <r>
    <d v="2011-01-21T00:00:00"/>
    <x v="1"/>
    <x v="0"/>
    <n v="1566"/>
    <x v="0"/>
    <x v="3"/>
    <x v="13"/>
    <n v="58"/>
    <n v="1566"/>
    <n v="841"/>
    <n v="70"/>
    <n v="85"/>
    <n v="96"/>
    <n v="85"/>
    <x v="29"/>
    <x v="1"/>
  </r>
  <r>
    <d v="2011-01-22T00:00:00"/>
    <x v="1"/>
    <x v="3"/>
    <n v="783"/>
    <x v="1"/>
    <x v="2"/>
    <x v="13"/>
    <n v="29"/>
    <n v="783"/>
    <n v="421"/>
    <n v="82"/>
    <n v="72"/>
    <n v="99"/>
    <n v="78"/>
    <x v="30"/>
    <x v="1"/>
  </r>
  <r>
    <d v="2011-01-28T00:00:00"/>
    <x v="4"/>
    <x v="1"/>
    <n v="1302"/>
    <x v="0"/>
    <x v="3"/>
    <x v="13"/>
    <n v="62"/>
    <n v="1302"/>
    <n v="574"/>
    <n v="71"/>
    <n v="75"/>
    <n v="87"/>
    <n v="69"/>
    <x v="31"/>
    <x v="0"/>
  </r>
  <r>
    <d v="2011-01-03T00:00:00"/>
    <x v="2"/>
    <x v="0"/>
    <n v="722"/>
    <x v="0"/>
    <x v="0"/>
    <x v="13"/>
    <n v="38"/>
    <n v="722"/>
    <n v="304"/>
    <n v="94"/>
    <n v="89"/>
    <n v="70"/>
    <n v="78"/>
    <x v="30"/>
    <x v="0"/>
  </r>
  <r>
    <d v="2011-01-26T00:00:00"/>
    <x v="3"/>
    <x v="1"/>
    <n v="5000"/>
    <x v="0"/>
    <x v="0"/>
    <x v="14"/>
    <n v="61"/>
    <n v="5000"/>
    <n v="610"/>
    <n v="96"/>
    <n v="66"/>
    <n v="77"/>
    <n v="77"/>
    <x v="12"/>
    <x v="0"/>
  </r>
  <r>
    <d v="2011-01-28T00:00:00"/>
    <x v="2"/>
    <x v="3"/>
    <n v="969"/>
    <x v="1"/>
    <x v="5"/>
    <x v="14"/>
    <n v="51"/>
    <n v="969"/>
    <n v="408"/>
    <n v="68"/>
    <n v="95"/>
    <n v="68"/>
    <n v="89"/>
    <x v="32"/>
    <x v="1"/>
  </r>
  <r>
    <d v="2011-02-27T00:00:00"/>
    <x v="2"/>
    <x v="3"/>
    <n v="969"/>
    <x v="1"/>
    <x v="5"/>
    <x v="14"/>
    <n v="51"/>
    <n v="969"/>
    <n v="408"/>
    <n v="96"/>
    <n v="78"/>
    <n v="99"/>
    <n v="98"/>
    <x v="33"/>
    <x v="1"/>
  </r>
  <r>
    <d v="2011-01-07T00:00:00"/>
    <x v="0"/>
    <x v="2"/>
    <n v="276"/>
    <x v="1"/>
    <x v="2"/>
    <x v="15"/>
    <n v="12"/>
    <n v="276"/>
    <n v="132"/>
    <n v="73"/>
    <n v="71"/>
    <n v="90"/>
    <n v="75"/>
    <x v="34"/>
    <x v="0"/>
  </r>
  <r>
    <d v="2011-02-06T00:00:00"/>
    <x v="0"/>
    <x v="2"/>
    <n v="276"/>
    <x v="1"/>
    <x v="2"/>
    <x v="15"/>
    <n v="12"/>
    <n v="276"/>
    <n v="132"/>
    <n v="83"/>
    <n v="65"/>
    <n v="93"/>
    <n v="86"/>
    <x v="35"/>
    <x v="1"/>
  </r>
  <r>
    <d v="2011-01-21T00:00:00"/>
    <x v="4"/>
    <x v="3"/>
    <n v="273"/>
    <x v="1"/>
    <x v="0"/>
    <x v="15"/>
    <n v="13"/>
    <n v="273"/>
    <n v="120"/>
    <n v="93"/>
    <n v="64"/>
    <n v="94"/>
    <n v="86"/>
    <x v="36"/>
    <x v="0"/>
  </r>
  <r>
    <d v="2011-01-17T00:00:00"/>
    <x v="2"/>
    <x v="2"/>
    <n v="1121"/>
    <x v="1"/>
    <x v="2"/>
    <x v="15"/>
    <n v="59"/>
    <n v="1121"/>
    <n v="472"/>
    <n v="62"/>
    <n v="65"/>
    <n v="99"/>
    <n v="65"/>
    <x v="37"/>
    <x v="0"/>
  </r>
  <r>
    <d v="2011-01-17T00:00:00"/>
    <x v="1"/>
    <x v="0"/>
    <n v="1674"/>
    <x v="0"/>
    <x v="2"/>
    <x v="16"/>
    <n v="62"/>
    <n v="1674"/>
    <n v="899"/>
    <n v="100"/>
    <n v="76"/>
    <n v="81"/>
    <n v="78"/>
    <x v="21"/>
    <x v="0"/>
  </r>
  <r>
    <d v="2011-02-16T00:00:00"/>
    <x v="1"/>
    <x v="0"/>
    <n v="1674"/>
    <x v="0"/>
    <x v="2"/>
    <x v="16"/>
    <n v="62"/>
    <n v="1674"/>
    <n v="899"/>
    <n v="60"/>
    <n v="71"/>
    <n v="83"/>
    <n v="61"/>
    <x v="38"/>
    <x v="1"/>
  </r>
  <r>
    <d v="2011-01-08T00:00:00"/>
    <x v="1"/>
    <x v="1"/>
    <n v="432"/>
    <x v="0"/>
    <x v="3"/>
    <x v="16"/>
    <n v="16"/>
    <n v="432"/>
    <n v="232"/>
    <n v="80"/>
    <n v="84"/>
    <n v="100"/>
    <n v="88"/>
    <x v="39"/>
    <x v="1"/>
  </r>
  <r>
    <d v="2011-01-24T00:00:00"/>
    <x v="1"/>
    <x v="1"/>
    <n v="1701"/>
    <x v="0"/>
    <x v="4"/>
    <x v="16"/>
    <n v="63"/>
    <n v="1701"/>
    <n v="914"/>
    <n v="79"/>
    <n v="61"/>
    <n v="85"/>
    <n v="71"/>
    <x v="40"/>
    <x v="0"/>
  </r>
  <r>
    <d v="2011-01-05T00:00:00"/>
    <x v="0"/>
    <x v="1"/>
    <n v="1380"/>
    <x v="0"/>
    <x v="2"/>
    <x v="17"/>
    <n v="60"/>
    <n v="1380"/>
    <n v="660"/>
    <n v="62"/>
    <n v="71"/>
    <n v="72"/>
    <n v="80"/>
    <x v="27"/>
    <x v="1"/>
  </r>
  <r>
    <d v="2011-02-04T00:00:00"/>
    <x v="0"/>
    <x v="1"/>
    <n v="1380"/>
    <x v="0"/>
    <x v="2"/>
    <x v="17"/>
    <n v="60"/>
    <n v="1380"/>
    <n v="660"/>
    <n v="76"/>
    <n v="86"/>
    <n v="75"/>
    <n v="75"/>
    <x v="41"/>
    <x v="0"/>
  </r>
  <r>
    <d v="2011-01-11T00:00:00"/>
    <x v="1"/>
    <x v="0"/>
    <n v="378"/>
    <x v="0"/>
    <x v="2"/>
    <x v="18"/>
    <n v="14"/>
    <n v="378"/>
    <n v="203"/>
    <n v="81"/>
    <n v="83"/>
    <n v="67"/>
    <n v="70"/>
    <x v="42"/>
    <x v="1"/>
  </r>
  <r>
    <d v="2011-02-25T00:00:00"/>
    <x v="1"/>
    <x v="0"/>
    <n v="378"/>
    <x v="0"/>
    <x v="2"/>
    <x v="18"/>
    <n v="14"/>
    <n v="378"/>
    <n v="203"/>
    <n v="60"/>
    <n v="89"/>
    <n v="77"/>
    <n v="100"/>
    <x v="43"/>
    <x v="1"/>
  </r>
  <r>
    <d v="2011-01-21T00:00:00"/>
    <x v="1"/>
    <x v="1"/>
    <n v="1512"/>
    <x v="0"/>
    <x v="4"/>
    <x v="18"/>
    <n v="56"/>
    <n v="1512"/>
    <n v="812"/>
    <n v="95"/>
    <n v="71"/>
    <n v="77"/>
    <n v="75"/>
    <x v="44"/>
    <x v="1"/>
  </r>
  <r>
    <d v="2011-01-12T00:00:00"/>
    <x v="4"/>
    <x v="2"/>
    <n v="399"/>
    <x v="1"/>
    <x v="4"/>
    <x v="18"/>
    <n v="19"/>
    <n v="399"/>
    <n v="176"/>
    <n v="65"/>
    <n v="71"/>
    <n v="65"/>
    <n v="80"/>
    <x v="45"/>
    <x v="0"/>
  </r>
  <r>
    <d v="2011-01-14T00:00:00"/>
    <x v="0"/>
    <x v="0"/>
    <n v="782"/>
    <x v="0"/>
    <x v="2"/>
    <x v="19"/>
    <n v="34"/>
    <n v="782"/>
    <n v="374"/>
    <n v="85"/>
    <n v="74"/>
    <n v="92"/>
    <n v="95"/>
    <x v="22"/>
    <x v="0"/>
  </r>
  <r>
    <d v="2011-01-25T00:00:00"/>
    <x v="2"/>
    <x v="2"/>
    <n v="399"/>
    <x v="1"/>
    <x v="2"/>
    <x v="19"/>
    <n v="21"/>
    <n v="399"/>
    <n v="168"/>
    <n v="69"/>
    <n v="64"/>
    <n v="87"/>
    <n v="88"/>
    <x v="46"/>
    <x v="0"/>
  </r>
  <r>
    <d v="2011-01-02T00:00:00"/>
    <x v="3"/>
    <x v="3"/>
    <n v="528"/>
    <x v="1"/>
    <x v="4"/>
    <x v="20"/>
    <n v="24"/>
    <n v="528"/>
    <n v="240"/>
    <n v="61"/>
    <n v="83"/>
    <n v="84"/>
    <n v="82"/>
    <x v="47"/>
    <x v="1"/>
  </r>
  <r>
    <d v="2011-02-16T00:00:00"/>
    <x v="3"/>
    <x v="3"/>
    <n v="528"/>
    <x v="1"/>
    <x v="4"/>
    <x v="20"/>
    <n v="24"/>
    <n v="528"/>
    <n v="240"/>
    <n v="86"/>
    <n v="100"/>
    <n v="83"/>
    <n v="73"/>
    <x v="11"/>
    <x v="1"/>
  </r>
  <r>
    <d v="2011-01-22T00:00:00"/>
    <x v="0"/>
    <x v="3"/>
    <n v="667"/>
    <x v="1"/>
    <x v="5"/>
    <x v="20"/>
    <n v="29"/>
    <n v="667"/>
    <n v="319"/>
    <n v="85"/>
    <n v="64"/>
    <n v="62"/>
    <n v="65"/>
    <x v="48"/>
    <x v="0"/>
  </r>
  <r>
    <d v="2011-01-28T00:00:00"/>
    <x v="1"/>
    <x v="3"/>
    <n v="1512"/>
    <x v="1"/>
    <x v="4"/>
    <x v="20"/>
    <n v="56"/>
    <n v="1512"/>
    <n v="812"/>
    <n v="80"/>
    <n v="88"/>
    <n v="93"/>
    <n v="100"/>
    <x v="49"/>
    <x v="1"/>
  </r>
  <r>
    <d v="2011-03-14T00:00:00"/>
    <x v="1"/>
    <x v="3"/>
    <n v="1512"/>
    <x v="1"/>
    <x v="4"/>
    <x v="20"/>
    <n v="56"/>
    <n v="1512"/>
    <n v="812"/>
    <n v="91"/>
    <n v="84"/>
    <n v="93"/>
    <n v="71"/>
    <x v="50"/>
    <x v="0"/>
  </r>
  <r>
    <d v="2011-01-10T00:00:00"/>
    <x v="1"/>
    <x v="1"/>
    <n v="1755"/>
    <x v="0"/>
    <x v="5"/>
    <x v="20"/>
    <n v="65"/>
    <n v="1755"/>
    <n v="943"/>
    <n v="66"/>
    <n v="82"/>
    <n v="89"/>
    <n v="64"/>
    <x v="42"/>
    <x v="0"/>
  </r>
  <r>
    <d v="2011-01-26T00:00:00"/>
    <x v="3"/>
    <x v="0"/>
    <n v="374"/>
    <x v="0"/>
    <x v="3"/>
    <x v="21"/>
    <n v="17"/>
    <n v="374"/>
    <n v="170"/>
    <n v="82"/>
    <n v="71"/>
    <n v="89"/>
    <n v="69"/>
    <x v="51"/>
    <x v="0"/>
  </r>
  <r>
    <d v="2011-01-06T00:00:00"/>
    <x v="0"/>
    <x v="1"/>
    <n v="414"/>
    <x v="0"/>
    <x v="1"/>
    <x v="21"/>
    <n v="18"/>
    <n v="414"/>
    <n v="198"/>
    <n v="75"/>
    <n v="61"/>
    <n v="71"/>
    <n v="93"/>
    <x v="52"/>
    <x v="1"/>
  </r>
  <r>
    <d v="2011-01-28T00:00:00"/>
    <x v="0"/>
    <x v="1"/>
    <n v="345"/>
    <x v="0"/>
    <x v="5"/>
    <x v="22"/>
    <n v="15"/>
    <n v="345"/>
    <n v="165"/>
    <n v="60"/>
    <n v="72"/>
    <n v="93"/>
    <n v="67"/>
    <x v="53"/>
    <x v="1"/>
  </r>
  <r>
    <d v="2011-01-10T00:00:00"/>
    <x v="4"/>
    <x v="0"/>
    <n v="357"/>
    <x v="0"/>
    <x v="5"/>
    <x v="23"/>
    <n v="17"/>
    <n v="357"/>
    <n v="157"/>
    <n v="74"/>
    <n v="79"/>
    <n v="90"/>
    <n v="71"/>
    <x v="54"/>
    <x v="0"/>
  </r>
  <r>
    <d v="2011-01-10T00:00:00"/>
    <x v="4"/>
    <x v="3"/>
    <n v="987"/>
    <x v="1"/>
    <x v="1"/>
    <x v="23"/>
    <n v="47"/>
    <n v="987"/>
    <n v="435"/>
    <n v="94"/>
    <n v="95"/>
    <n v="95"/>
    <n v="86"/>
    <x v="55"/>
    <x v="1"/>
  </r>
  <r>
    <d v="2011-02-24T00:00:00"/>
    <x v="4"/>
    <x v="3"/>
    <n v="987"/>
    <x v="1"/>
    <x v="1"/>
    <x v="23"/>
    <n v="47"/>
    <n v="987"/>
    <n v="435"/>
    <n v="73"/>
    <n v="78"/>
    <n v="75"/>
    <n v="93"/>
    <x v="20"/>
    <x v="0"/>
  </r>
  <r>
    <d v="2011-01-28T00:00:00"/>
    <x v="0"/>
    <x v="3"/>
    <n v="1058"/>
    <x v="1"/>
    <x v="2"/>
    <x v="24"/>
    <n v="46"/>
    <n v="1058"/>
    <n v="506"/>
    <n v="91"/>
    <n v="85"/>
    <n v="75"/>
    <n v="98"/>
    <x v="56"/>
    <x v="1"/>
  </r>
  <r>
    <d v="2011-01-18T00:00:00"/>
    <x v="4"/>
    <x v="0"/>
    <n v="252"/>
    <x v="0"/>
    <x v="4"/>
    <x v="24"/>
    <n v="12"/>
    <n v="252"/>
    <n v="111"/>
    <n v="85"/>
    <n v="86"/>
    <n v="86"/>
    <n v="78"/>
    <x v="21"/>
    <x v="1"/>
  </r>
  <r>
    <d v="2011-01-17T00:00:00"/>
    <x v="3"/>
    <x v="2"/>
    <n v="352"/>
    <x v="1"/>
    <x v="5"/>
    <x v="25"/>
    <n v="16"/>
    <n v="352"/>
    <n v="160"/>
    <n v="79"/>
    <n v="62"/>
    <n v="99"/>
    <n v="75"/>
    <x v="23"/>
    <x v="1"/>
  </r>
  <r>
    <d v="2011-01-17T00:00:00"/>
    <x v="0"/>
    <x v="0"/>
    <n v="897"/>
    <x v="0"/>
    <x v="1"/>
    <x v="25"/>
    <n v="39"/>
    <n v="897"/>
    <n v="429"/>
    <n v="94"/>
    <n v="94"/>
    <n v="89"/>
    <n v="68"/>
    <x v="57"/>
    <x v="0"/>
  </r>
  <r>
    <d v="2011-03-03T00:00:00"/>
    <x v="0"/>
    <x v="0"/>
    <n v="897"/>
    <x v="0"/>
    <x v="1"/>
    <x v="25"/>
    <n v="39"/>
    <n v="897"/>
    <n v="429"/>
    <n v="72"/>
    <n v="74"/>
    <n v="77"/>
    <n v="70"/>
    <x v="58"/>
    <x v="0"/>
  </r>
  <r>
    <d v="2011-01-23T00:00:00"/>
    <x v="1"/>
    <x v="0"/>
    <n v="1188"/>
    <x v="0"/>
    <x v="2"/>
    <x v="25"/>
    <n v="44"/>
    <n v="1188"/>
    <n v="638"/>
    <n v="72"/>
    <n v="99"/>
    <n v="97"/>
    <n v="90"/>
    <x v="59"/>
    <x v="0"/>
  </r>
  <r>
    <d v="2011-01-17T00:00:00"/>
    <x v="1"/>
    <x v="1"/>
    <n v="270"/>
    <x v="0"/>
    <x v="3"/>
    <x v="25"/>
    <n v="10"/>
    <n v="270"/>
    <n v="145"/>
    <n v="84"/>
    <n v="79"/>
    <n v="76"/>
    <n v="86"/>
    <x v="3"/>
    <x v="1"/>
  </r>
  <r>
    <d v="2011-03-03T00:00:00"/>
    <x v="1"/>
    <x v="1"/>
    <n v="270"/>
    <x v="0"/>
    <x v="3"/>
    <x v="25"/>
    <n v="10"/>
    <n v="270"/>
    <n v="145"/>
    <n v="78"/>
    <n v="72"/>
    <n v="95"/>
    <n v="80"/>
    <x v="3"/>
    <x v="1"/>
  </r>
  <r>
    <d v="2011-01-06T00:00:00"/>
    <x v="1"/>
    <x v="1"/>
    <n v="1728"/>
    <x v="0"/>
    <x v="1"/>
    <x v="25"/>
    <n v="64"/>
    <n v="1728"/>
    <n v="928"/>
    <n v="97"/>
    <n v="62"/>
    <n v="71"/>
    <n v="85"/>
    <x v="23"/>
    <x v="0"/>
  </r>
  <r>
    <d v="2011-01-07T00:00:00"/>
    <x v="4"/>
    <x v="2"/>
    <n v="462"/>
    <x v="1"/>
    <x v="1"/>
    <x v="25"/>
    <n v="22"/>
    <n v="462"/>
    <n v="204"/>
    <n v="83"/>
    <n v="61"/>
    <n v="88"/>
    <n v="60"/>
    <x v="53"/>
    <x v="1"/>
  </r>
  <r>
    <d v="2011-01-09T00:00:00"/>
    <x v="2"/>
    <x v="0"/>
    <n v="798"/>
    <x v="0"/>
    <x v="5"/>
    <x v="25"/>
    <n v="42"/>
    <n v="798"/>
    <n v="336"/>
    <n v="88"/>
    <n v="79"/>
    <n v="72"/>
    <n v="62"/>
    <x v="42"/>
    <x v="0"/>
  </r>
  <r>
    <d v="2011-01-18T00:00:00"/>
    <x v="2"/>
    <x v="2"/>
    <n v="1178"/>
    <x v="1"/>
    <x v="3"/>
    <x v="25"/>
    <n v="62"/>
    <n v="1178"/>
    <n v="496"/>
    <n v="75"/>
    <n v="99"/>
    <n v="95"/>
    <n v="96"/>
    <x v="60"/>
    <x v="0"/>
  </r>
  <r>
    <d v="2011-03-04T00:00:00"/>
    <x v="2"/>
    <x v="2"/>
    <n v="1178"/>
    <x v="1"/>
    <x v="3"/>
    <x v="25"/>
    <n v="62"/>
    <n v="1178"/>
    <n v="496"/>
    <n v="87"/>
    <n v="81"/>
    <n v="77"/>
    <n v="86"/>
    <x v="30"/>
    <x v="0"/>
  </r>
  <r>
    <d v="2011-01-03T00:00:00"/>
    <x v="2"/>
    <x v="3"/>
    <n v="114"/>
    <x v="1"/>
    <x v="1"/>
    <x v="25"/>
    <n v="6"/>
    <n v="114"/>
    <n v="48"/>
    <n v="100"/>
    <n v="78"/>
    <n v="82"/>
    <n v="78"/>
    <x v="8"/>
    <x v="1"/>
  </r>
  <r>
    <d v="2011-02-02T00:00:00"/>
    <x v="2"/>
    <x v="3"/>
    <n v="114"/>
    <x v="1"/>
    <x v="1"/>
    <x v="25"/>
    <n v="6"/>
    <n v="114"/>
    <n v="48"/>
    <n v="92"/>
    <n v="84"/>
    <n v="89"/>
    <n v="96"/>
    <x v="49"/>
    <x v="1"/>
  </r>
  <r>
    <d v="2011-01-13T00:00:00"/>
    <x v="3"/>
    <x v="2"/>
    <n v="1254"/>
    <x v="1"/>
    <x v="0"/>
    <x v="26"/>
    <n v="57"/>
    <n v="1254"/>
    <n v="570"/>
    <n v="78"/>
    <n v="80"/>
    <n v="91"/>
    <n v="89"/>
    <x v="8"/>
    <x v="0"/>
  </r>
  <r>
    <d v="2011-01-29T00:00:00"/>
    <x v="1"/>
    <x v="2"/>
    <n v="270"/>
    <x v="1"/>
    <x v="4"/>
    <x v="26"/>
    <n v="10"/>
    <n v="270"/>
    <n v="145"/>
    <n v="76"/>
    <n v="77"/>
    <n v="90"/>
    <n v="61"/>
    <x v="17"/>
    <x v="1"/>
  </r>
  <r>
    <d v="2011-01-18T00:00:00"/>
    <x v="1"/>
    <x v="2"/>
    <n v="459"/>
    <x v="1"/>
    <x v="5"/>
    <x v="26"/>
    <n v="17"/>
    <n v="459"/>
    <n v="247"/>
    <n v="84"/>
    <n v="63"/>
    <n v="90"/>
    <n v="88"/>
    <x v="3"/>
    <x v="0"/>
  </r>
  <r>
    <d v="2011-01-20T00:00:00"/>
    <x v="3"/>
    <x v="0"/>
    <n v="220"/>
    <x v="0"/>
    <x v="4"/>
    <x v="27"/>
    <n v="10"/>
    <n v="220"/>
    <n v="100"/>
    <n v="60"/>
    <n v="70"/>
    <n v="87"/>
    <n v="67"/>
    <x v="61"/>
    <x v="1"/>
  </r>
  <r>
    <d v="2011-01-26T00:00:00"/>
    <x v="3"/>
    <x v="2"/>
    <n v="462"/>
    <x v="1"/>
    <x v="4"/>
    <x v="27"/>
    <n v="21"/>
    <n v="462"/>
    <n v="210"/>
    <n v="85"/>
    <n v="96"/>
    <n v="71"/>
    <n v="65"/>
    <x v="62"/>
    <x v="1"/>
  </r>
  <r>
    <d v="2011-02-25T00:00:00"/>
    <x v="3"/>
    <x v="2"/>
    <n v="462"/>
    <x v="1"/>
    <x v="4"/>
    <x v="27"/>
    <n v="21"/>
    <n v="462"/>
    <n v="210"/>
    <n v="74"/>
    <n v="99"/>
    <n v="73"/>
    <n v="61"/>
    <x v="15"/>
    <x v="1"/>
  </r>
  <r>
    <d v="2011-01-13T00:00:00"/>
    <x v="3"/>
    <x v="2"/>
    <n v="880"/>
    <x v="1"/>
    <x v="0"/>
    <x v="27"/>
    <n v="40"/>
    <n v="880"/>
    <n v="400"/>
    <n v="96"/>
    <n v="91"/>
    <n v="87"/>
    <n v="95"/>
    <x v="63"/>
    <x v="0"/>
  </r>
  <r>
    <d v="2011-01-06T00:00:00"/>
    <x v="2"/>
    <x v="0"/>
    <n v="1026"/>
    <x v="0"/>
    <x v="2"/>
    <x v="27"/>
    <n v="54"/>
    <n v="1026"/>
    <n v="432"/>
    <n v="97"/>
    <n v="67"/>
    <n v="77"/>
    <n v="91"/>
    <x v="13"/>
    <x v="0"/>
  </r>
  <r>
    <d v="2011-01-13T00:00:00"/>
    <x v="2"/>
    <x v="2"/>
    <n v="627"/>
    <x v="1"/>
    <x v="0"/>
    <x v="27"/>
    <n v="33"/>
    <n v="627"/>
    <n v="264"/>
    <n v="91"/>
    <n v="62"/>
    <n v="90"/>
    <n v="61"/>
    <x v="17"/>
    <x v="0"/>
  </r>
  <r>
    <d v="2011-01-09T00:00:00"/>
    <x v="3"/>
    <x v="3"/>
    <n v="330"/>
    <x v="1"/>
    <x v="1"/>
    <x v="28"/>
    <n v="15"/>
    <n v="330"/>
    <n v="150"/>
    <n v="85"/>
    <n v="60"/>
    <n v="85"/>
    <n v="99"/>
    <x v="64"/>
    <x v="1"/>
  </r>
  <r>
    <d v="2011-01-28T00:00:00"/>
    <x v="3"/>
    <x v="3"/>
    <n v="550"/>
    <x v="1"/>
    <x v="1"/>
    <x v="28"/>
    <n v="25"/>
    <n v="550"/>
    <n v="250"/>
    <n v="98"/>
    <n v="75"/>
    <n v="69"/>
    <n v="80"/>
    <x v="24"/>
    <x v="1"/>
  </r>
  <r>
    <d v="2011-03-14T00:00:00"/>
    <x v="3"/>
    <x v="3"/>
    <n v="550"/>
    <x v="1"/>
    <x v="1"/>
    <x v="28"/>
    <n v="25"/>
    <n v="550"/>
    <n v="250"/>
    <n v="92"/>
    <n v="86"/>
    <n v="71"/>
    <n v="94"/>
    <x v="65"/>
    <x v="0"/>
  </r>
  <r>
    <d v="2011-01-16T00:00:00"/>
    <x v="0"/>
    <x v="3"/>
    <n v="713"/>
    <x v="1"/>
    <x v="5"/>
    <x v="28"/>
    <n v="31"/>
    <n v="713"/>
    <n v="341"/>
    <n v="73"/>
    <n v="87"/>
    <n v="89"/>
    <n v="76"/>
    <x v="3"/>
    <x v="1"/>
  </r>
  <r>
    <d v="2011-01-27T00:00:00"/>
    <x v="0"/>
    <x v="1"/>
    <n v="230"/>
    <x v="0"/>
    <x v="4"/>
    <x v="28"/>
    <n v="10"/>
    <n v="230"/>
    <n v="110"/>
    <n v="72"/>
    <n v="85"/>
    <n v="77"/>
    <n v="63"/>
    <x v="19"/>
    <x v="0"/>
  </r>
  <r>
    <d v="2011-01-21T00:00:00"/>
    <x v="2"/>
    <x v="2"/>
    <n v="1216"/>
    <x v="1"/>
    <x v="5"/>
    <x v="28"/>
    <n v="64"/>
    <n v="1216"/>
    <n v="512"/>
    <n v="76"/>
    <n v="89"/>
    <n v="71"/>
    <n v="93"/>
    <x v="64"/>
    <x v="0"/>
  </r>
  <r>
    <d v="2011-01-06T00:00:00"/>
    <x v="2"/>
    <x v="3"/>
    <n v="760"/>
    <x v="1"/>
    <x v="5"/>
    <x v="28"/>
    <n v="40"/>
    <n v="760"/>
    <n v="320"/>
    <n v="90"/>
    <n v="73"/>
    <n v="85"/>
    <n v="70"/>
    <x v="44"/>
    <x v="0"/>
  </r>
  <r>
    <d v="2011-02-01T00:00:00"/>
    <x v="3"/>
    <x v="1"/>
    <n v="418"/>
    <x v="0"/>
    <x v="0"/>
    <x v="29"/>
    <n v="19"/>
    <n v="418"/>
    <n v="190"/>
    <n v="91"/>
    <n v="89"/>
    <n v="79"/>
    <n v="97"/>
    <x v="66"/>
    <x v="1"/>
  </r>
  <r>
    <d v="2011-01-17T00:00:00"/>
    <x v="1"/>
    <x v="0"/>
    <n v="1161"/>
    <x v="0"/>
    <x v="4"/>
    <x v="29"/>
    <n v="43"/>
    <n v="1161"/>
    <n v="624"/>
    <n v="79"/>
    <n v="66"/>
    <n v="84"/>
    <n v="62"/>
    <x v="37"/>
    <x v="1"/>
  </r>
  <r>
    <d v="2011-02-16T00:00:00"/>
    <x v="1"/>
    <x v="0"/>
    <n v="1161"/>
    <x v="0"/>
    <x v="4"/>
    <x v="29"/>
    <n v="43"/>
    <n v="1161"/>
    <n v="624"/>
    <n v="60"/>
    <n v="96"/>
    <n v="93"/>
    <n v="66"/>
    <x v="23"/>
    <x v="0"/>
  </r>
  <r>
    <d v="2011-01-19T00:00:00"/>
    <x v="3"/>
    <x v="3"/>
    <n v="770"/>
    <x v="1"/>
    <x v="1"/>
    <x v="30"/>
    <n v="35"/>
    <n v="770"/>
    <n v="350"/>
    <n v="87"/>
    <n v="77"/>
    <n v="60"/>
    <n v="83"/>
    <x v="15"/>
    <x v="1"/>
  </r>
  <r>
    <d v="2011-01-07T00:00:00"/>
    <x v="3"/>
    <x v="1"/>
    <n v="594"/>
    <x v="0"/>
    <x v="5"/>
    <x v="30"/>
    <n v="27"/>
    <n v="594"/>
    <n v="270"/>
    <n v="81"/>
    <n v="78"/>
    <n v="89"/>
    <n v="67"/>
    <x v="23"/>
    <x v="0"/>
  </r>
  <r>
    <d v="2011-01-07T00:00:00"/>
    <x v="4"/>
    <x v="1"/>
    <n v="1281"/>
    <x v="0"/>
    <x v="0"/>
    <x v="30"/>
    <n v="61"/>
    <n v="1281"/>
    <n v="564"/>
    <n v="80"/>
    <n v="64"/>
    <n v="68"/>
    <n v="69"/>
    <x v="45"/>
    <x v="1"/>
  </r>
  <r>
    <d v="2011-02-06T00:00:00"/>
    <x v="4"/>
    <x v="1"/>
    <n v="1281"/>
    <x v="0"/>
    <x v="0"/>
    <x v="30"/>
    <n v="61"/>
    <n v="1281"/>
    <n v="564"/>
    <n v="69"/>
    <n v="86"/>
    <n v="99"/>
    <n v="65"/>
    <x v="20"/>
    <x v="1"/>
  </r>
  <r>
    <d v="2011-01-23T00:00:00"/>
    <x v="2"/>
    <x v="3"/>
    <n v="931"/>
    <x v="1"/>
    <x v="3"/>
    <x v="30"/>
    <n v="49"/>
    <n v="931"/>
    <n v="392"/>
    <n v="98"/>
    <n v="61"/>
    <n v="81"/>
    <n v="61"/>
    <x v="42"/>
    <x v="1"/>
  </r>
  <r>
    <d v="2011-01-21T00:00:00"/>
    <x v="3"/>
    <x v="3"/>
    <n v="242"/>
    <x v="1"/>
    <x v="5"/>
    <x v="31"/>
    <n v="11"/>
    <n v="242"/>
    <n v="110"/>
    <n v="73"/>
    <n v="60"/>
    <n v="87"/>
    <n v="93"/>
    <x v="67"/>
    <x v="0"/>
  </r>
  <r>
    <d v="2011-01-10T00:00:00"/>
    <x v="4"/>
    <x v="0"/>
    <n v="567"/>
    <x v="0"/>
    <x v="4"/>
    <x v="31"/>
    <n v="27"/>
    <n v="567"/>
    <n v="250"/>
    <n v="60"/>
    <n v="87"/>
    <n v="65"/>
    <n v="97"/>
    <x v="34"/>
    <x v="0"/>
  </r>
  <r>
    <d v="2011-01-10T00:00:00"/>
    <x v="2"/>
    <x v="3"/>
    <n v="570"/>
    <x v="1"/>
    <x v="3"/>
    <x v="31"/>
    <n v="30"/>
    <n v="570"/>
    <n v="240"/>
    <n v="76"/>
    <n v="85"/>
    <n v="69"/>
    <n v="87"/>
    <x v="62"/>
    <x v="0"/>
  </r>
  <r>
    <d v="2011-01-30T00:00:00"/>
    <x v="1"/>
    <x v="3"/>
    <n v="675"/>
    <x v="1"/>
    <x v="1"/>
    <x v="32"/>
    <n v="25"/>
    <n v="675"/>
    <n v="363"/>
    <n v="82"/>
    <n v="68"/>
    <n v="80"/>
    <n v="64"/>
    <x v="4"/>
    <x v="1"/>
  </r>
  <r>
    <d v="2011-01-05T00:00:00"/>
    <x v="4"/>
    <x v="3"/>
    <n v="1197"/>
    <x v="1"/>
    <x v="0"/>
    <x v="32"/>
    <n v="57"/>
    <n v="1197"/>
    <n v="527"/>
    <n v="91"/>
    <n v="96"/>
    <n v="77"/>
    <n v="74"/>
    <x v="8"/>
    <x v="1"/>
  </r>
  <r>
    <d v="2011-01-10T00:00:00"/>
    <x v="2"/>
    <x v="2"/>
    <n v="152"/>
    <x v="1"/>
    <x v="5"/>
    <x v="32"/>
    <n v="8"/>
    <n v="152"/>
    <n v="64"/>
    <n v="97"/>
    <n v="79"/>
    <n v="85"/>
    <n v="76"/>
    <x v="36"/>
    <x v="0"/>
  </r>
  <r>
    <d v="2011-01-30T00:00:00"/>
    <x v="2"/>
    <x v="3"/>
    <n v="437"/>
    <x v="1"/>
    <x v="1"/>
    <x v="32"/>
    <n v="23"/>
    <n v="437"/>
    <n v="184"/>
    <n v="63"/>
    <n v="76"/>
    <n v="65"/>
    <n v="78"/>
    <x v="68"/>
    <x v="1"/>
  </r>
  <r>
    <d v="2011-01-09T00:00:00"/>
    <x v="3"/>
    <x v="3"/>
    <n v="572"/>
    <x v="1"/>
    <x v="3"/>
    <x v="33"/>
    <n v="26"/>
    <n v="572"/>
    <n v="260"/>
    <n v="72"/>
    <n v="66"/>
    <n v="66"/>
    <n v="67"/>
    <x v="69"/>
    <x v="0"/>
  </r>
  <r>
    <d v="2011-01-09T00:00:00"/>
    <x v="0"/>
    <x v="0"/>
    <n v="874"/>
    <x v="0"/>
    <x v="2"/>
    <x v="33"/>
    <n v="38"/>
    <n v="874"/>
    <n v="418"/>
    <n v="90"/>
    <n v="96"/>
    <n v="93"/>
    <n v="71"/>
    <x v="70"/>
    <x v="0"/>
  </r>
  <r>
    <d v="2011-02-23T00:00:00"/>
    <x v="0"/>
    <x v="0"/>
    <n v="874"/>
    <x v="0"/>
    <x v="2"/>
    <x v="33"/>
    <n v="38"/>
    <n v="874"/>
    <n v="418"/>
    <n v="93"/>
    <n v="94"/>
    <n v="89"/>
    <n v="93"/>
    <x v="63"/>
    <x v="0"/>
  </r>
  <r>
    <d v="2011-01-03T00:00:00"/>
    <x v="1"/>
    <x v="3"/>
    <n v="483"/>
    <x v="1"/>
    <x v="0"/>
    <x v="33"/>
    <n v="23"/>
    <n v="483"/>
    <n v="213"/>
    <n v="73"/>
    <n v="87"/>
    <n v="74"/>
    <n v="82"/>
    <x v="12"/>
    <x v="1"/>
  </r>
  <r>
    <d v="2011-01-12T00:00:00"/>
    <x v="3"/>
    <x v="3"/>
    <n v="154"/>
    <x v="1"/>
    <x v="3"/>
    <x v="34"/>
    <n v="7"/>
    <n v="154"/>
    <n v="70"/>
    <n v="64"/>
    <n v="86"/>
    <n v="98"/>
    <n v="78"/>
    <x v="43"/>
    <x v="1"/>
  </r>
  <r>
    <d v="2011-01-22T00:00:00"/>
    <x v="3"/>
    <x v="1"/>
    <n v="132"/>
    <x v="0"/>
    <x v="5"/>
    <x v="34"/>
    <n v="6"/>
    <n v="132"/>
    <n v="60"/>
    <n v="87"/>
    <n v="65"/>
    <n v="99"/>
    <n v="85"/>
    <x v="29"/>
    <x v="0"/>
  </r>
  <r>
    <d v="2011-03-08T00:00:00"/>
    <x v="3"/>
    <x v="1"/>
    <n v="132"/>
    <x v="0"/>
    <x v="5"/>
    <x v="34"/>
    <n v="6"/>
    <n v="132"/>
    <n v="60"/>
    <n v="79"/>
    <n v="100"/>
    <n v="100"/>
    <n v="93"/>
    <x v="71"/>
    <x v="1"/>
  </r>
  <r>
    <d v="2011-01-23T00:00:00"/>
    <x v="1"/>
    <x v="0"/>
    <n v="594"/>
    <x v="0"/>
    <x v="0"/>
    <x v="34"/>
    <n v="22"/>
    <n v="594"/>
    <n v="319"/>
    <n v="89"/>
    <n v="99"/>
    <n v="98"/>
    <n v="95"/>
    <x v="72"/>
    <x v="0"/>
  </r>
  <r>
    <d v="2011-01-07T00:00:00"/>
    <x v="4"/>
    <x v="1"/>
    <n v="1113"/>
    <x v="0"/>
    <x v="0"/>
    <x v="34"/>
    <n v="53"/>
    <n v="1113"/>
    <n v="490"/>
    <n v="90"/>
    <n v="62"/>
    <n v="73"/>
    <n v="93"/>
    <x v="44"/>
    <x v="1"/>
  </r>
  <r>
    <d v="2011-01-16T00:00:00"/>
    <x v="3"/>
    <x v="2"/>
    <n v="1232"/>
    <x v="1"/>
    <x v="1"/>
    <x v="35"/>
    <n v="56"/>
    <n v="1232"/>
    <n v="560"/>
    <n v="91"/>
    <n v="99"/>
    <n v="74"/>
    <n v="88"/>
    <x v="39"/>
    <x v="1"/>
  </r>
  <r>
    <d v="2011-02-15T00:00:00"/>
    <x v="1"/>
    <x v="2"/>
    <n v="1232"/>
    <x v="1"/>
    <x v="1"/>
    <x v="35"/>
    <n v="56"/>
    <n v="1232"/>
    <n v="560"/>
    <n v="84"/>
    <n v="64"/>
    <n v="65"/>
    <n v="74"/>
    <x v="73"/>
    <x v="1"/>
  </r>
  <r>
    <d v="2011-01-22T00:00:00"/>
    <x v="3"/>
    <x v="1"/>
    <n v="770"/>
    <x v="0"/>
    <x v="1"/>
    <x v="35"/>
    <n v="35"/>
    <n v="770"/>
    <n v="350"/>
    <n v="96"/>
    <n v="89"/>
    <n v="90"/>
    <n v="85"/>
    <x v="74"/>
    <x v="0"/>
  </r>
  <r>
    <d v="2011-01-18T00:00:00"/>
    <x v="0"/>
    <x v="3"/>
    <n v="1219"/>
    <x v="1"/>
    <x v="5"/>
    <x v="35"/>
    <n v="53"/>
    <n v="1219"/>
    <n v="583"/>
    <n v="70"/>
    <n v="84"/>
    <n v="87"/>
    <n v="89"/>
    <x v="6"/>
    <x v="0"/>
  </r>
  <r>
    <d v="2011-01-28T00:00:00"/>
    <x v="1"/>
    <x v="2"/>
    <n v="1134"/>
    <x v="1"/>
    <x v="5"/>
    <x v="35"/>
    <n v="42"/>
    <n v="1134"/>
    <n v="609"/>
    <n v="70"/>
    <n v="90"/>
    <n v="82"/>
    <n v="81"/>
    <x v="75"/>
    <x v="0"/>
  </r>
  <r>
    <d v="2011-01-28T00:00:00"/>
    <x v="1"/>
    <x v="3"/>
    <n v="1188"/>
    <x v="1"/>
    <x v="2"/>
    <x v="35"/>
    <n v="44"/>
    <n v="1188"/>
    <n v="638"/>
    <n v="96"/>
    <n v="65"/>
    <n v="97"/>
    <n v="61"/>
    <x v="20"/>
    <x v="1"/>
  </r>
  <r>
    <d v="2011-03-14T00:00:00"/>
    <x v="1"/>
    <x v="3"/>
    <n v="1188"/>
    <x v="1"/>
    <x v="2"/>
    <x v="35"/>
    <n v="44"/>
    <n v="1188"/>
    <n v="638"/>
    <n v="70"/>
    <n v="75"/>
    <n v="100"/>
    <n v="82"/>
    <x v="35"/>
    <x v="1"/>
  </r>
  <r>
    <d v="2011-01-15T00:00:00"/>
    <x v="2"/>
    <x v="2"/>
    <n v="209"/>
    <x v="1"/>
    <x v="3"/>
    <x v="35"/>
    <n v="11"/>
    <n v="209"/>
    <n v="88"/>
    <n v="62"/>
    <n v="95"/>
    <n v="76"/>
    <n v="71"/>
    <x v="17"/>
    <x v="0"/>
  </r>
  <r>
    <d v="2011-02-14T00:00:00"/>
    <x v="2"/>
    <x v="2"/>
    <n v="209"/>
    <x v="1"/>
    <x v="3"/>
    <x v="35"/>
    <n v="11"/>
    <n v="209"/>
    <n v="88"/>
    <n v="67"/>
    <n v="93"/>
    <n v="79"/>
    <n v="71"/>
    <x v="47"/>
    <x v="1"/>
  </r>
  <r>
    <d v="2011-01-20T00:00:00"/>
    <x v="2"/>
    <x v="1"/>
    <n v="1102"/>
    <x v="0"/>
    <x v="1"/>
    <x v="35"/>
    <n v="58"/>
    <n v="1102"/>
    <n v="464"/>
    <n v="71"/>
    <n v="60"/>
    <n v="73"/>
    <n v="74"/>
    <x v="76"/>
    <x v="0"/>
  </r>
  <r>
    <d v="2011-01-28T00:00:00"/>
    <x v="4"/>
    <x v="0"/>
    <n v="756"/>
    <x v="0"/>
    <x v="5"/>
    <x v="36"/>
    <n v="36"/>
    <n v="756"/>
    <n v="333"/>
    <n v="100"/>
    <n v="100"/>
    <n v="99"/>
    <n v="86"/>
    <x v="77"/>
    <x v="0"/>
  </r>
</pivotCacheRecords>
</file>

<file path=xl/pivotCache/pivotCacheRecords3.xml><?xml version="1.0" encoding="utf-8"?>
<pivotCacheRecords xmlns="http://schemas.openxmlformats.org/spreadsheetml/2006/main" xmlns:r="http://schemas.openxmlformats.org/officeDocument/2006/relationships" count="71">
  <r>
    <x v="0"/>
    <x v="0"/>
    <s v="SP"/>
    <x v="0"/>
    <x v="0"/>
    <x v="0"/>
    <s v="Horror"/>
    <x v="0"/>
    <n v="103"/>
    <x v="0"/>
    <x v="0"/>
    <s v="Sukumar"/>
    <x v="0"/>
  </r>
  <r>
    <x v="1"/>
    <x v="1"/>
    <s v="AS"/>
    <x v="1"/>
    <x v="1"/>
    <x v="1"/>
    <s v="Thriller"/>
    <x v="1"/>
    <n v="128"/>
    <x v="1"/>
    <x v="1"/>
    <s v="Rajamouli"/>
    <x v="0"/>
  </r>
  <r>
    <x v="2"/>
    <x v="2"/>
    <s v="TK"/>
    <x v="2"/>
    <x v="2"/>
    <x v="2"/>
    <s v="Family"/>
    <x v="2"/>
    <n v="37"/>
    <x v="2"/>
    <x v="2"/>
    <s v="Trivikram"/>
    <x v="1"/>
  </r>
  <r>
    <x v="3"/>
    <x v="0"/>
    <s v="RK"/>
    <x v="3"/>
    <x v="2"/>
    <x v="3"/>
    <s v="Comedy"/>
    <x v="0"/>
    <n v="109"/>
    <x v="3"/>
    <x v="0"/>
    <s v="Maruthi"/>
    <x v="0"/>
  </r>
  <r>
    <x v="4"/>
    <x v="3"/>
    <s v="AP"/>
    <x v="4"/>
    <x v="3"/>
    <x v="4"/>
    <s v="Adv"/>
    <x v="0"/>
    <n v="30"/>
    <x v="4"/>
    <x v="0"/>
    <s v="Rgv"/>
    <x v="1"/>
  </r>
  <r>
    <x v="5"/>
    <x v="0"/>
    <s v="NT"/>
    <x v="5"/>
    <x v="1"/>
    <x v="5"/>
    <s v="Action"/>
    <x v="0"/>
    <n v="132"/>
    <x v="5"/>
    <x v="1"/>
    <s v="Puri"/>
    <x v="0"/>
  </r>
  <r>
    <x v="6"/>
    <x v="2"/>
    <s v="SP"/>
    <x v="6"/>
    <x v="0"/>
    <x v="1"/>
    <s v="BioPic"/>
    <x v="0"/>
    <n v="51"/>
    <x v="1"/>
    <x v="3"/>
    <s v="Rajamouli"/>
    <x v="2"/>
  </r>
  <r>
    <x v="7"/>
    <x v="4"/>
    <s v="AS"/>
    <x v="7"/>
    <x v="4"/>
    <x v="2"/>
    <s v="BioPic"/>
    <x v="0"/>
    <n v="24"/>
    <x v="2"/>
    <x v="2"/>
    <s v="Trivikram"/>
    <x v="1"/>
  </r>
  <r>
    <x v="8"/>
    <x v="5"/>
    <s v="TK"/>
    <x v="8"/>
    <x v="3"/>
    <x v="3"/>
    <s v="BioPic"/>
    <x v="0"/>
    <n v="48"/>
    <x v="3"/>
    <x v="0"/>
    <s v="Maruthi"/>
    <x v="2"/>
  </r>
  <r>
    <x v="9"/>
    <x v="6"/>
    <s v="RK"/>
    <x v="9"/>
    <x v="5"/>
    <x v="4"/>
    <s v="BioPic"/>
    <x v="0"/>
    <n v="14"/>
    <x v="4"/>
    <x v="0"/>
    <s v="Rgv"/>
    <x v="1"/>
  </r>
  <r>
    <x v="10"/>
    <x v="0"/>
    <s v="AP"/>
    <x v="10"/>
    <x v="5"/>
    <x v="5"/>
    <s v="BioPic"/>
    <x v="1"/>
    <n v="50"/>
    <x v="5"/>
    <x v="1"/>
    <s v="Puri"/>
    <x v="2"/>
  </r>
  <r>
    <x v="11"/>
    <x v="1"/>
    <s v="NT"/>
    <x v="11"/>
    <x v="1"/>
    <x v="1"/>
    <s v="BioPic"/>
    <x v="2"/>
    <n v="25"/>
    <x v="1"/>
    <x v="3"/>
    <s v="Rajamouli"/>
    <x v="1"/>
  </r>
  <r>
    <x v="12"/>
    <x v="2"/>
    <s v="SRP"/>
    <x v="12"/>
    <x v="3"/>
    <x v="2"/>
    <s v="BioPic"/>
    <x v="0"/>
    <n v="50"/>
    <x v="2"/>
    <x v="4"/>
    <s v="Trivikram"/>
    <x v="2"/>
  </r>
  <r>
    <x v="13"/>
    <x v="7"/>
    <s v="SRP"/>
    <x v="13"/>
    <x v="6"/>
    <x v="3"/>
    <s v="BioPic"/>
    <x v="1"/>
    <n v="76"/>
    <x v="3"/>
    <x v="4"/>
    <s v="Maruthi"/>
    <x v="0"/>
  </r>
  <r>
    <x v="14"/>
    <x v="7"/>
    <s v="AS"/>
    <x v="14"/>
    <x v="7"/>
    <x v="4"/>
    <s v="Horror"/>
    <x v="1"/>
    <n v="25"/>
    <x v="4"/>
    <x v="4"/>
    <s v="Rgv"/>
    <x v="1"/>
  </r>
  <r>
    <x v="15"/>
    <x v="7"/>
    <s v="TK"/>
    <x v="15"/>
    <x v="1"/>
    <x v="5"/>
    <s v="Thriller"/>
    <x v="1"/>
    <n v="69"/>
    <x v="6"/>
    <x v="4"/>
    <s v="Atli"/>
    <x v="2"/>
  </r>
  <r>
    <x v="16"/>
    <x v="7"/>
    <s v="RK"/>
    <x v="16"/>
    <x v="2"/>
    <x v="0"/>
    <s v="Family"/>
    <x v="1"/>
    <n v="35"/>
    <x v="6"/>
    <x v="2"/>
    <s v="Atli"/>
    <x v="1"/>
  </r>
  <r>
    <x v="17"/>
    <x v="7"/>
    <s v="AP"/>
    <x v="17"/>
    <x v="6"/>
    <x v="0"/>
    <s v="Comedy"/>
    <x v="1"/>
    <n v="27"/>
    <x v="7"/>
    <x v="0"/>
    <s v="Shankar"/>
    <x v="1"/>
  </r>
  <r>
    <x v="18"/>
    <x v="7"/>
    <s v="NT"/>
    <x v="18"/>
    <x v="6"/>
    <x v="0"/>
    <s v="Adv"/>
    <x v="1"/>
    <n v="80"/>
    <x v="7"/>
    <x v="0"/>
    <s v="Shankar"/>
    <x v="0"/>
  </r>
  <r>
    <x v="19"/>
    <x v="7"/>
    <s v="SRP"/>
    <x v="19"/>
    <x v="1"/>
    <x v="0"/>
    <s v="Adv"/>
    <x v="1"/>
    <n v="115"/>
    <x v="7"/>
    <x v="1"/>
    <s v="Shankar"/>
    <x v="0"/>
  </r>
  <r>
    <x v="20"/>
    <x v="7"/>
    <s v="SRP"/>
    <x v="20"/>
    <x v="1"/>
    <x v="0"/>
    <s v="Adv"/>
    <x v="1"/>
    <n v="135"/>
    <x v="7"/>
    <x v="1"/>
    <s v="Shankar"/>
    <x v="0"/>
  </r>
  <r>
    <x v="21"/>
    <x v="7"/>
    <s v="AS"/>
    <x v="21"/>
    <x v="4"/>
    <x v="6"/>
    <s v="Adv"/>
    <x v="1"/>
    <n v="30"/>
    <x v="7"/>
    <x v="4"/>
    <s v="Shankar"/>
    <x v="1"/>
  </r>
  <r>
    <x v="22"/>
    <x v="2"/>
    <s v="SP"/>
    <x v="22"/>
    <x v="6"/>
    <x v="7"/>
    <s v="Thriller"/>
    <x v="1"/>
    <n v="67"/>
    <x v="7"/>
    <x v="4"/>
    <s v="Shankar"/>
    <x v="2"/>
  </r>
  <r>
    <x v="23"/>
    <x v="0"/>
    <s v="AS"/>
    <x v="23"/>
    <x v="1"/>
    <x v="7"/>
    <s v="Family"/>
    <x v="2"/>
    <n v="64"/>
    <x v="8"/>
    <x v="5"/>
    <s v="Raghava"/>
    <x v="2"/>
  </r>
  <r>
    <x v="24"/>
    <x v="3"/>
    <s v="TK"/>
    <x v="24"/>
    <x v="7"/>
    <x v="7"/>
    <s v="Comedy"/>
    <x v="0"/>
    <n v="119"/>
    <x v="9"/>
    <x v="0"/>
    <s v="Sekar Kammula"/>
    <x v="0"/>
  </r>
  <r>
    <x v="25"/>
    <x v="0"/>
    <s v="RK"/>
    <x v="25"/>
    <x v="8"/>
    <x v="7"/>
    <s v="Adv"/>
    <x v="1"/>
    <n v="75"/>
    <x v="0"/>
    <x v="0"/>
    <s v="Sukumar"/>
    <x v="2"/>
  </r>
  <r>
    <x v="26"/>
    <x v="2"/>
    <s v="AP"/>
    <x v="13"/>
    <x v="4"/>
    <x v="7"/>
    <s v="Action"/>
    <x v="2"/>
    <n v="14"/>
    <x v="1"/>
    <x v="1"/>
    <s v="Rajamouli"/>
    <x v="1"/>
  </r>
  <r>
    <x v="27"/>
    <x v="4"/>
    <s v="NT"/>
    <x v="20"/>
    <x v="0"/>
    <x v="7"/>
    <s v="BioPic"/>
    <x v="0"/>
    <n v="138"/>
    <x v="2"/>
    <x v="6"/>
    <s v="Trivikram"/>
    <x v="0"/>
  </r>
  <r>
    <x v="28"/>
    <x v="5"/>
    <s v="SP"/>
    <x v="26"/>
    <x v="2"/>
    <x v="7"/>
    <s v="Horror"/>
    <x v="1"/>
    <n v="101"/>
    <x v="3"/>
    <x v="4"/>
    <s v="Maruthi"/>
    <x v="0"/>
  </r>
  <r>
    <x v="29"/>
    <x v="6"/>
    <s v="AS"/>
    <x v="27"/>
    <x v="1"/>
    <x v="8"/>
    <s v="Thriller"/>
    <x v="2"/>
    <n v="179"/>
    <x v="4"/>
    <x v="4"/>
    <s v="Rgv"/>
    <x v="0"/>
  </r>
  <r>
    <x v="30"/>
    <x v="8"/>
    <s v="TK"/>
    <x v="28"/>
    <x v="2"/>
    <x v="8"/>
    <s v="Family"/>
    <x v="0"/>
    <n v="40"/>
    <x v="5"/>
    <x v="5"/>
    <s v="Puri"/>
    <x v="1"/>
  </r>
  <r>
    <x v="31"/>
    <x v="8"/>
    <s v="RK"/>
    <x v="21"/>
    <x v="3"/>
    <x v="8"/>
    <s v="Family"/>
    <x v="1"/>
    <n v="126"/>
    <x v="1"/>
    <x v="0"/>
    <s v="Rajamouli"/>
    <x v="0"/>
  </r>
  <r>
    <x v="32"/>
    <x v="8"/>
    <s v="SP"/>
    <x v="29"/>
    <x v="9"/>
    <x v="8"/>
    <s v="Family"/>
    <x v="2"/>
    <n v="11"/>
    <x v="2"/>
    <x v="0"/>
    <s v="Trivikram"/>
    <x v="1"/>
  </r>
  <r>
    <x v="33"/>
    <x v="8"/>
    <s v="AS"/>
    <x v="21"/>
    <x v="9"/>
    <x v="8"/>
    <s v="Family"/>
    <x v="0"/>
    <n v="90"/>
    <x v="3"/>
    <x v="1"/>
    <s v="Maruthi"/>
    <x v="0"/>
  </r>
  <r>
    <x v="34"/>
    <x v="8"/>
    <s v="TK"/>
    <x v="5"/>
    <x v="0"/>
    <x v="0"/>
    <s v="Family"/>
    <x v="1"/>
    <n v="46"/>
    <x v="4"/>
    <x v="7"/>
    <s v="Rgv"/>
    <x v="2"/>
  </r>
  <r>
    <x v="35"/>
    <x v="8"/>
    <s v="RK"/>
    <x v="30"/>
    <x v="3"/>
    <x v="1"/>
    <s v="Family"/>
    <x v="2"/>
    <n v="36"/>
    <x v="5"/>
    <x v="4"/>
    <s v="Puri"/>
    <x v="1"/>
  </r>
  <r>
    <x v="36"/>
    <x v="8"/>
    <s v="AP"/>
    <x v="31"/>
    <x v="3"/>
    <x v="2"/>
    <s v="Family"/>
    <x v="0"/>
    <n v="177"/>
    <x v="1"/>
    <x v="4"/>
    <s v="Rajamouli"/>
    <x v="0"/>
  </r>
  <r>
    <x v="37"/>
    <x v="4"/>
    <s v="NT"/>
    <x v="3"/>
    <x v="3"/>
    <x v="3"/>
    <s v="Family"/>
    <x v="1"/>
    <n v="118"/>
    <x v="2"/>
    <x v="5"/>
    <s v="Trivikram"/>
    <x v="0"/>
  </r>
  <r>
    <x v="38"/>
    <x v="5"/>
    <s v="SP"/>
    <x v="32"/>
    <x v="0"/>
    <x v="4"/>
    <s v="Family"/>
    <x v="1"/>
    <n v="177"/>
    <x v="3"/>
    <x v="0"/>
    <s v="Maruthi"/>
    <x v="0"/>
  </r>
  <r>
    <x v="39"/>
    <x v="6"/>
    <s v="SP"/>
    <x v="33"/>
    <x v="7"/>
    <x v="5"/>
    <s v="Adv"/>
    <x v="1"/>
    <n v="171"/>
    <x v="4"/>
    <x v="0"/>
    <s v="Rgv"/>
    <x v="0"/>
  </r>
  <r>
    <x v="40"/>
    <x v="0"/>
    <s v="AS"/>
    <x v="18"/>
    <x v="6"/>
    <x v="1"/>
    <s v="Action"/>
    <x v="1"/>
    <n v="18"/>
    <x v="6"/>
    <x v="1"/>
    <s v="Atli"/>
    <x v="1"/>
  </r>
  <r>
    <x v="41"/>
    <x v="1"/>
    <s v="TK"/>
    <x v="34"/>
    <x v="8"/>
    <x v="2"/>
    <s v="BioPic"/>
    <x v="1"/>
    <n v="75"/>
    <x v="6"/>
    <x v="8"/>
    <s v="Atli"/>
    <x v="2"/>
  </r>
  <r>
    <x v="42"/>
    <x v="2"/>
    <s v="RK"/>
    <x v="35"/>
    <x v="7"/>
    <x v="3"/>
    <s v="Horror"/>
    <x v="1"/>
    <n v="141"/>
    <x v="0"/>
    <x v="4"/>
    <s v="Sukumar"/>
    <x v="0"/>
  </r>
  <r>
    <x v="43"/>
    <x v="0"/>
    <s v="SP"/>
    <x v="0"/>
    <x v="5"/>
    <x v="4"/>
    <s v="Thriller"/>
    <x v="1"/>
    <n v="127"/>
    <x v="1"/>
    <x v="4"/>
    <s v="Rajamouli"/>
    <x v="0"/>
  </r>
  <r>
    <x v="44"/>
    <x v="3"/>
    <s v="AS"/>
    <x v="36"/>
    <x v="2"/>
    <x v="5"/>
    <s v="Family"/>
    <x v="1"/>
    <n v="154"/>
    <x v="2"/>
    <x v="5"/>
    <s v="Trivikram"/>
    <x v="0"/>
  </r>
  <r>
    <x v="45"/>
    <x v="0"/>
    <s v="TK"/>
    <x v="34"/>
    <x v="5"/>
    <x v="1"/>
    <s v="Comedy"/>
    <x v="1"/>
    <n v="51"/>
    <x v="3"/>
    <x v="0"/>
    <s v="Maruthi"/>
    <x v="2"/>
  </r>
  <r>
    <x v="46"/>
    <x v="2"/>
    <s v="RK"/>
    <x v="37"/>
    <x v="3"/>
    <x v="2"/>
    <s v="Adv"/>
    <x v="1"/>
    <n v="122"/>
    <x v="4"/>
    <x v="0"/>
    <s v="Rgv"/>
    <x v="0"/>
  </r>
  <r>
    <x v="47"/>
    <x v="4"/>
    <s v="AP"/>
    <x v="38"/>
    <x v="0"/>
    <x v="3"/>
    <s v="Action"/>
    <x v="2"/>
    <n v="44"/>
    <x v="5"/>
    <x v="1"/>
    <s v="Puri"/>
    <x v="1"/>
  </r>
  <r>
    <x v="48"/>
    <x v="9"/>
    <s v="NT"/>
    <x v="1"/>
    <x v="8"/>
    <x v="4"/>
    <s v="BioPic"/>
    <x v="0"/>
    <n v="172"/>
    <x v="1"/>
    <x v="6"/>
    <s v="Rajamouli"/>
    <x v="0"/>
  </r>
  <r>
    <x v="49"/>
    <x v="9"/>
    <s v="SP"/>
    <x v="39"/>
    <x v="7"/>
    <x v="5"/>
    <s v="Horror"/>
    <x v="1"/>
    <n v="140"/>
    <x v="2"/>
    <x v="4"/>
    <s v="Trivikram"/>
    <x v="0"/>
  </r>
  <r>
    <x v="50"/>
    <x v="9"/>
    <s v="SP"/>
    <x v="19"/>
    <x v="1"/>
    <x v="0"/>
    <s v="Thriller"/>
    <x v="1"/>
    <n v="135"/>
    <x v="3"/>
    <x v="4"/>
    <s v="Maruthi"/>
    <x v="0"/>
  </r>
  <r>
    <x v="51"/>
    <x v="9"/>
    <s v="AS"/>
    <x v="40"/>
    <x v="1"/>
    <x v="0"/>
    <s v="Family"/>
    <x v="1"/>
    <n v="148"/>
    <x v="4"/>
    <x v="5"/>
    <s v="Rgv"/>
    <x v="0"/>
  </r>
  <r>
    <x v="52"/>
    <x v="9"/>
    <s v="SP"/>
    <x v="29"/>
    <x v="9"/>
    <x v="0"/>
    <s v="Comedy"/>
    <x v="1"/>
    <n v="108"/>
    <x v="5"/>
    <x v="0"/>
    <s v="Puri"/>
    <x v="0"/>
  </r>
  <r>
    <x v="53"/>
    <x v="9"/>
    <s v="AS"/>
    <x v="41"/>
    <x v="9"/>
    <x v="0"/>
    <s v="Comedy"/>
    <x v="1"/>
    <n v="120"/>
    <x v="1"/>
    <x v="0"/>
    <s v="Rajamouli"/>
    <x v="0"/>
  </r>
  <r>
    <x v="54"/>
    <x v="9"/>
    <s v="TK"/>
    <x v="42"/>
    <x v="9"/>
    <x v="0"/>
    <s v="Comedy"/>
    <x v="1"/>
    <n v="165"/>
    <x v="2"/>
    <x v="1"/>
    <s v="Trivikram"/>
    <x v="0"/>
  </r>
  <r>
    <x v="55"/>
    <x v="9"/>
    <s v="RK"/>
    <x v="43"/>
    <x v="4"/>
    <x v="6"/>
    <s v="Comedy"/>
    <x v="1"/>
    <n v="16"/>
    <x v="3"/>
    <x v="6"/>
    <s v="Maruthi"/>
    <x v="1"/>
  </r>
  <r>
    <x v="56"/>
    <x v="9"/>
    <s v="SP"/>
    <x v="14"/>
    <x v="3"/>
    <x v="7"/>
    <s v="Comedy"/>
    <x v="1"/>
    <n v="70"/>
    <x v="4"/>
    <x v="4"/>
    <s v="Rgv"/>
    <x v="2"/>
  </r>
  <r>
    <x v="57"/>
    <x v="9"/>
    <s v="AS"/>
    <x v="44"/>
    <x v="0"/>
    <x v="7"/>
    <s v="Comedy"/>
    <x v="1"/>
    <n v="173"/>
    <x v="6"/>
    <x v="4"/>
    <s v="Atli"/>
    <x v="0"/>
  </r>
  <r>
    <x v="58"/>
    <x v="9"/>
    <s v="TK"/>
    <x v="26"/>
    <x v="5"/>
    <x v="7"/>
    <s v="Comedy"/>
    <x v="1"/>
    <n v="71"/>
    <x v="6"/>
    <x v="5"/>
    <s v="Atli"/>
    <x v="2"/>
  </r>
  <r>
    <x v="59"/>
    <x v="6"/>
    <s v="RK"/>
    <x v="45"/>
    <x v="2"/>
    <x v="7"/>
    <s v="Comedy"/>
    <x v="1"/>
    <n v="133"/>
    <x v="0"/>
    <x v="0"/>
    <s v="Sukumar"/>
    <x v="0"/>
  </r>
  <r>
    <x v="60"/>
    <x v="0"/>
    <s v="AP"/>
    <x v="30"/>
    <x v="5"/>
    <x v="7"/>
    <s v="Comedy"/>
    <x v="1"/>
    <n v="10"/>
    <x v="1"/>
    <x v="0"/>
    <s v="Rajamouli"/>
    <x v="1"/>
  </r>
  <r>
    <x v="61"/>
    <x v="1"/>
    <s v="NT"/>
    <x v="46"/>
    <x v="0"/>
    <x v="7"/>
    <s v="Comedy"/>
    <x v="1"/>
    <n v="17"/>
    <x v="2"/>
    <x v="1"/>
    <s v="Trivikram"/>
    <x v="1"/>
  </r>
  <r>
    <x v="62"/>
    <x v="2"/>
    <s v="SP"/>
    <x v="23"/>
    <x v="3"/>
    <x v="7"/>
    <s v="Comedy"/>
    <x v="1"/>
    <n v="109"/>
    <x v="3"/>
    <x v="6"/>
    <s v="Maruthi"/>
    <x v="0"/>
  </r>
  <r>
    <x v="63"/>
    <x v="0"/>
    <s v="SP"/>
    <x v="47"/>
    <x v="8"/>
    <x v="8"/>
    <s v="Comedy"/>
    <x v="0"/>
    <n v="105"/>
    <x v="4"/>
    <x v="0"/>
    <s v="Rgv"/>
    <x v="0"/>
  </r>
  <r>
    <x v="64"/>
    <x v="3"/>
    <s v="AS"/>
    <x v="48"/>
    <x v="6"/>
    <x v="8"/>
    <s v="Comedy"/>
    <x v="1"/>
    <n v="135"/>
    <x v="5"/>
    <x v="0"/>
    <s v="Puri"/>
    <x v="0"/>
  </r>
  <r>
    <x v="65"/>
    <x v="10"/>
    <s v="TK"/>
    <x v="49"/>
    <x v="8"/>
    <x v="8"/>
    <s v="Comedy"/>
    <x v="2"/>
    <n v="79"/>
    <x v="1"/>
    <x v="5"/>
    <s v="Rajamouli"/>
    <x v="0"/>
  </r>
  <r>
    <x v="66"/>
    <x v="10"/>
    <s v="RK"/>
    <x v="50"/>
    <x v="2"/>
    <x v="8"/>
    <s v="Comedy"/>
    <x v="0"/>
    <n v="50"/>
    <x v="2"/>
    <x v="0"/>
    <s v="Trivikram"/>
    <x v="2"/>
  </r>
  <r>
    <x v="67"/>
    <x v="10"/>
    <s v="SP"/>
    <x v="49"/>
    <x v="2"/>
    <x v="8"/>
    <s v="Adv"/>
    <x v="1"/>
    <n v="155"/>
    <x v="3"/>
    <x v="0"/>
    <s v="Maruthi"/>
    <x v="0"/>
  </r>
  <r>
    <x v="68"/>
    <x v="10"/>
    <s v="AS"/>
    <x v="43"/>
    <x v="7"/>
    <x v="7"/>
    <s v="Action"/>
    <x v="2"/>
    <n v="78"/>
    <x v="4"/>
    <x v="1"/>
    <s v="Rgv"/>
    <x v="0"/>
  </r>
  <r>
    <x v="69"/>
    <x v="6"/>
    <s v="TK"/>
    <x v="30"/>
    <x v="4"/>
    <x v="7"/>
    <s v="BioPic"/>
    <x v="2"/>
    <n v="83"/>
    <x v="5"/>
    <x v="6"/>
    <s v="Puri"/>
    <x v="0"/>
  </r>
  <r>
    <x v="70"/>
    <x v="0"/>
    <s v="RK"/>
    <x v="28"/>
    <x v="0"/>
    <x v="7"/>
    <s v="Horror"/>
    <x v="2"/>
    <n v="118"/>
    <x v="1"/>
    <x v="0"/>
    <s v="Rajamouli"/>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Table6" cacheId="2" applyNumberFormats="0" applyBorderFormats="0" applyFontFormats="0" applyPatternFormats="0" applyAlignmentFormats="0" applyWidthHeightFormats="1" dataCaption="Values" updatedVersion="8" minRefreshableVersion="3" useAutoFormatting="1" itemPrintTitles="1" createdVersion="8" indent="0" multipleFieldFilters="0">
  <location ref="J106:J174" firstHeaderRow="1" firstDataRow="1" firstDataCol="1"/>
  <pivotFields count="10">
    <pivotField numFmtId="14" showAll="0">
      <items count="50">
        <item x="1"/>
        <item x="7"/>
        <item x="25"/>
        <item x="13"/>
        <item x="24"/>
        <item x="39"/>
        <item x="29"/>
        <item x="32"/>
        <item x="19"/>
        <item x="0"/>
        <item x="12"/>
        <item x="35"/>
        <item x="26"/>
        <item x="36"/>
        <item x="8"/>
        <item x="43"/>
        <item x="21"/>
        <item x="2"/>
        <item x="46"/>
        <item x="22"/>
        <item x="17"/>
        <item x="5"/>
        <item x="14"/>
        <item x="10"/>
        <item x="37"/>
        <item x="16"/>
        <item x="44"/>
        <item x="27"/>
        <item x="4"/>
        <item x="18"/>
        <item x="45"/>
        <item x="42"/>
        <item x="33"/>
        <item x="30"/>
        <item x="48"/>
        <item x="47"/>
        <item x="31"/>
        <item x="9"/>
        <item x="23"/>
        <item x="20"/>
        <item x="40"/>
        <item x="34"/>
        <item x="28"/>
        <item x="41"/>
        <item x="3"/>
        <item x="6"/>
        <item x="15"/>
        <item x="11"/>
        <item x="38"/>
        <item t="default"/>
      </items>
    </pivotField>
    <pivotField showAll="0">
      <items count="6">
        <item x="3"/>
        <item x="0"/>
        <item x="1"/>
        <item x="4"/>
        <item x="2"/>
        <item t="default"/>
      </items>
    </pivotField>
    <pivotField showAll="0">
      <items count="5">
        <item x="0"/>
        <item x="2"/>
        <item x="3"/>
        <item x="1"/>
        <item t="default"/>
      </items>
    </pivotField>
    <pivotField showAll="0"/>
    <pivotField axis="axisRow" showAll="0">
      <items count="32">
        <item n="RA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axis="axisRow" showAll="0">
      <items count="54">
        <item x="41"/>
        <item x="19"/>
        <item x="6"/>
        <item x="11"/>
        <item x="37"/>
        <item x="50"/>
        <item x="18"/>
        <item x="7"/>
        <item x="26"/>
        <item x="33"/>
        <item x="1"/>
        <item x="14"/>
        <item x="32"/>
        <item x="28"/>
        <item x="10"/>
        <item x="30"/>
        <item x="39"/>
        <item x="15"/>
        <item x="2"/>
        <item x="45"/>
        <item x="51"/>
        <item x="49"/>
        <item x="9"/>
        <item x="5"/>
        <item x="46"/>
        <item x="44"/>
        <item x="29"/>
        <item x="48"/>
        <item x="52"/>
        <item x="23"/>
        <item x="36"/>
        <item x="16"/>
        <item x="40"/>
        <item x="47"/>
        <item x="12"/>
        <item x="35"/>
        <item x="34"/>
        <item x="8"/>
        <item x="3"/>
        <item x="24"/>
        <item x="20"/>
        <item x="4"/>
        <item x="43"/>
        <item x="27"/>
        <item x="42"/>
        <item x="21"/>
        <item x="13"/>
        <item x="25"/>
        <item x="17"/>
        <item x="22"/>
        <item x="0"/>
        <item x="38"/>
        <item x="31"/>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4"/>
    <field x="5"/>
  </rowFields>
  <rowItems count="68">
    <i>
      <x/>
    </i>
    <i r="1">
      <x v="18"/>
    </i>
    <i>
      <x v="1"/>
    </i>
    <i r="1">
      <x v="23"/>
    </i>
    <i r="1">
      <x v="38"/>
    </i>
    <i>
      <x v="2"/>
    </i>
    <i r="1">
      <x v="22"/>
    </i>
    <i r="1">
      <x v="37"/>
    </i>
    <i>
      <x v="3"/>
    </i>
    <i r="1">
      <x v="14"/>
    </i>
    <i r="1">
      <x v="34"/>
    </i>
    <i>
      <x v="4"/>
    </i>
    <i r="1">
      <x v="17"/>
    </i>
    <i r="1">
      <x v="37"/>
    </i>
    <i>
      <x v="5"/>
    </i>
    <i r="1">
      <x v="31"/>
    </i>
    <i>
      <x v="7"/>
    </i>
    <i r="1">
      <x v="14"/>
    </i>
    <i r="1">
      <x v="22"/>
    </i>
    <i r="1">
      <x v="29"/>
    </i>
    <i>
      <x v="13"/>
    </i>
    <i r="1">
      <x v="15"/>
    </i>
    <i r="1">
      <x v="26"/>
    </i>
    <i>
      <x v="14"/>
    </i>
    <i r="1">
      <x v="18"/>
    </i>
    <i r="1">
      <x v="22"/>
    </i>
    <i>
      <x v="17"/>
    </i>
    <i r="1">
      <x v="36"/>
    </i>
    <i>
      <x v="18"/>
    </i>
    <i r="1">
      <x v="35"/>
    </i>
    <i>
      <x v="19"/>
    </i>
    <i r="1">
      <x v="16"/>
    </i>
    <i r="1">
      <x v="30"/>
    </i>
    <i r="1">
      <x v="32"/>
    </i>
    <i r="1">
      <x v="34"/>
    </i>
    <i>
      <x v="21"/>
    </i>
    <i r="1">
      <x v="15"/>
    </i>
    <i r="1">
      <x v="25"/>
    </i>
    <i r="1">
      <x v="31"/>
    </i>
    <i>
      <x v="22"/>
    </i>
    <i r="1">
      <x v="19"/>
    </i>
    <i r="1">
      <x v="24"/>
    </i>
    <i r="1">
      <x v="31"/>
    </i>
    <i>
      <x v="23"/>
    </i>
    <i r="1">
      <x v="33"/>
    </i>
    <i>
      <x v="24"/>
    </i>
    <i r="1">
      <x v="21"/>
    </i>
    <i r="1">
      <x v="27"/>
    </i>
    <i r="1">
      <x v="37"/>
    </i>
    <i>
      <x v="25"/>
    </i>
    <i r="1">
      <x v="21"/>
    </i>
    <i r="1">
      <x v="23"/>
    </i>
    <i>
      <x v="26"/>
    </i>
    <i r="1">
      <x v="17"/>
    </i>
    <i r="1">
      <x v="19"/>
    </i>
    <i>
      <x v="27"/>
    </i>
    <i r="1">
      <x v="17"/>
    </i>
    <i r="1">
      <x v="20"/>
    </i>
    <i r="1">
      <x v="29"/>
    </i>
    <i>
      <x v="28"/>
    </i>
    <i r="1">
      <x v="16"/>
    </i>
    <i>
      <x v="29"/>
    </i>
    <i r="1">
      <x v="27"/>
    </i>
    <i r="1">
      <x v="32"/>
    </i>
    <i r="1">
      <x v="34"/>
    </i>
    <i>
      <x v="30"/>
    </i>
    <i r="1">
      <x v="28"/>
    </i>
    <i t="grand">
      <x/>
    </i>
  </rowItems>
  <colItems count="1">
    <i/>
  </colItems>
  <pivotTableStyleInfo name="PivotStyleLight16" showRowHeaders="1" showColHeaders="1" showRowStripes="0" showColStripes="0" showLastColumn="1"/>
  <filters count="1">
    <filter fld="5" type="captionBetween" evalOrder="-1" id="1" stringValue1="20" stringValue2="50">
      <autoFilter ref="A1">
        <filterColumn colId="0">
          <customFilters and="1">
            <customFilter operator="greaterThanOrEqual" val="20"/>
            <customFilter operator="lessThanOrEqual" val="50"/>
          </customFilters>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2" applyNumberFormats="0" applyBorderFormats="0" applyFontFormats="0" applyPatternFormats="0" applyAlignmentFormats="0" applyWidthHeightFormats="1" dataCaption="Values" updatedVersion="8" minRefreshableVersion="3" useAutoFormatting="1" itemPrintTitles="1" createdVersion="8" indent="0" multipleFieldFilters="0">
  <location ref="J64:L68" firstHeaderRow="0" firstDataRow="1" firstDataCol="1"/>
  <pivotFields count="10">
    <pivotField numFmtId="14" showAll="0" measureFilter="1">
      <items count="50">
        <item x="1"/>
        <item x="7"/>
        <item x="25"/>
        <item x="13"/>
        <item x="24"/>
        <item x="39"/>
        <item x="29"/>
        <item x="32"/>
        <item x="19"/>
        <item x="0"/>
        <item x="12"/>
        <item x="35"/>
        <item x="26"/>
        <item x="36"/>
        <item x="8"/>
        <item x="43"/>
        <item x="21"/>
        <item x="2"/>
        <item x="46"/>
        <item x="22"/>
        <item x="17"/>
        <item x="5"/>
        <item x="14"/>
        <item x="10"/>
        <item x="37"/>
        <item x="16"/>
        <item x="44"/>
        <item x="27"/>
        <item x="4"/>
        <item x="18"/>
        <item x="45"/>
        <item x="42"/>
        <item x="33"/>
        <item x="30"/>
        <item x="48"/>
        <item x="47"/>
        <item x="31"/>
        <item x="9"/>
        <item x="23"/>
        <item x="20"/>
        <item x="40"/>
        <item x="34"/>
        <item x="28"/>
        <item x="41"/>
        <item x="3"/>
        <item x="6"/>
        <item x="15"/>
        <item x="11"/>
        <item x="38"/>
        <item t="default"/>
      </items>
    </pivotField>
    <pivotField showAll="0"/>
    <pivotField showAll="0"/>
    <pivotField showAll="0"/>
    <pivotField axis="axisRow" showAll="0" measureFilter="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pivotField dataField="1"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4">
    <i>
      <x v="15"/>
    </i>
    <i>
      <x v="16"/>
    </i>
    <i>
      <x v="30"/>
    </i>
    <i t="grand">
      <x/>
    </i>
  </rowItems>
  <colFields count="1">
    <field x="-2"/>
  </colFields>
  <colItems count="2">
    <i>
      <x/>
    </i>
    <i i="1">
      <x v="1"/>
    </i>
  </colItems>
  <dataFields count="2">
    <dataField name="Sum of sales" fld="6" baseField="0" baseItem="0"/>
    <dataField name="Sum of Discount" fld="7" baseField="0" baseItem="0"/>
  </dataFields>
  <pivotTableStyleInfo name="PivotStyleLight16" showRowHeaders="1" showColHeaders="1" showRowStripes="0" showColStripes="0" showLastColumn="1"/>
  <filters count="2">
    <filter fld="4" type="valueLessThan" evalOrder="-1" id="5" iMeasureFld="1">
      <autoFilter ref="A1">
        <filterColumn colId="0">
          <customFilters>
            <customFilter operator="lessThan" val="500"/>
          </customFilters>
        </filterColumn>
      </autoFilter>
    </filter>
    <filter fld="0" type="valueGreaterThan" evalOrder="-1" id="3" iMeasureFld="0">
      <autoFilter ref="A1">
        <filterColumn colId="0">
          <customFilters>
            <customFilter operator="greaterThan" val="1000"/>
          </customFilters>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9" cacheId="2" applyNumberFormats="0" applyBorderFormats="0" applyFontFormats="0" applyPatternFormats="0" applyAlignmentFormats="0" applyWidthHeightFormats="1" dataCaption="Values" updatedVersion="6" minRefreshableVersion="3" useAutoFormatting="1" itemPrintTitles="1" createdVersion="8" indent="0" multipleFieldFilters="0">
  <location ref="D142:E255" firstHeaderRow="1" firstDataRow="1" firstDataCol="1"/>
  <pivotFields count="10">
    <pivotField numFmtId="14" showAll="0">
      <items count="50">
        <item x="1"/>
        <item x="7"/>
        <item x="25"/>
        <item x="13"/>
        <item x="24"/>
        <item x="39"/>
        <item x="29"/>
        <item x="32"/>
        <item x="19"/>
        <item x="0"/>
        <item x="12"/>
        <item x="35"/>
        <item x="26"/>
        <item x="36"/>
        <item x="8"/>
        <item x="43"/>
        <item x="21"/>
        <item x="2"/>
        <item x="46"/>
        <item x="22"/>
        <item x="17"/>
        <item x="5"/>
        <item x="14"/>
        <item x="10"/>
        <item x="37"/>
        <item x="16"/>
        <item x="44"/>
        <item x="27"/>
        <item x="4"/>
        <item x="18"/>
        <item x="45"/>
        <item x="42"/>
        <item x="33"/>
        <item x="30"/>
        <item x="48"/>
        <item x="47"/>
        <item x="31"/>
        <item x="9"/>
        <item x="23"/>
        <item x="20"/>
        <item x="40"/>
        <item x="34"/>
        <item x="28"/>
        <item x="41"/>
        <item x="3"/>
        <item x="6"/>
        <item x="15"/>
        <item x="11"/>
        <item x="38"/>
        <item t="default"/>
      </items>
    </pivotField>
    <pivotField showAll="0">
      <items count="6">
        <item x="3"/>
        <item x="0"/>
        <item x="1"/>
        <item x="4"/>
        <item x="2"/>
        <item t="default"/>
      </items>
    </pivotField>
    <pivotField showAll="0">
      <items count="5">
        <item x="0"/>
        <item x="2"/>
        <item x="3"/>
        <item x="1"/>
        <item t="default"/>
      </items>
    </pivotField>
    <pivotField axis="axisRow" showAll="0">
      <items count="7">
        <item x="3"/>
        <item x="2"/>
        <item x="4"/>
        <item x="0"/>
        <item x="1"/>
        <item x="5"/>
        <item t="default"/>
      </items>
    </pivotField>
    <pivotField axis="axisRow" showAll="0">
      <items count="32">
        <item n="RA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4"/>
    <field x="3"/>
  </rowFields>
  <rowItems count="113">
    <i>
      <x/>
    </i>
    <i r="1">
      <x v="1"/>
    </i>
    <i r="1">
      <x v="3"/>
    </i>
    <i r="1">
      <x v="4"/>
    </i>
    <i>
      <x v="1"/>
    </i>
    <i r="1">
      <x/>
    </i>
    <i r="1">
      <x v="2"/>
    </i>
    <i r="1">
      <x v="3"/>
    </i>
    <i r="1">
      <x v="4"/>
    </i>
    <i>
      <x v="2"/>
    </i>
    <i r="1">
      <x v="1"/>
    </i>
    <i r="1">
      <x v="4"/>
    </i>
    <i r="1">
      <x v="5"/>
    </i>
    <i>
      <x v="3"/>
    </i>
    <i r="1">
      <x v="1"/>
    </i>
    <i r="1">
      <x v="2"/>
    </i>
    <i r="1">
      <x v="4"/>
    </i>
    <i>
      <x v="4"/>
    </i>
    <i r="1">
      <x v="2"/>
    </i>
    <i r="1">
      <x v="3"/>
    </i>
    <i r="1">
      <x v="5"/>
    </i>
    <i>
      <x v="5"/>
    </i>
    <i r="1">
      <x/>
    </i>
    <i r="1">
      <x v="3"/>
    </i>
    <i>
      <x v="6"/>
    </i>
    <i r="1">
      <x/>
    </i>
    <i r="1">
      <x v="1"/>
    </i>
    <i>
      <x v="7"/>
    </i>
    <i r="1">
      <x/>
    </i>
    <i r="1">
      <x v="1"/>
    </i>
    <i r="1">
      <x v="2"/>
    </i>
    <i r="1">
      <x v="3"/>
    </i>
    <i r="1">
      <x v="5"/>
    </i>
    <i>
      <x v="8"/>
    </i>
    <i r="1">
      <x v="3"/>
    </i>
    <i r="1">
      <x v="5"/>
    </i>
    <i>
      <x v="9"/>
    </i>
    <i r="1">
      <x v="1"/>
    </i>
    <i r="1">
      <x v="3"/>
    </i>
    <i>
      <x v="10"/>
    </i>
    <i r="1">
      <x/>
    </i>
    <i r="1">
      <x v="1"/>
    </i>
    <i r="1">
      <x v="2"/>
    </i>
    <i>
      <x v="11"/>
    </i>
    <i r="1">
      <x v="1"/>
    </i>
    <i>
      <x v="12"/>
    </i>
    <i r="1">
      <x v="1"/>
    </i>
    <i r="1">
      <x v="2"/>
    </i>
    <i>
      <x v="13"/>
    </i>
    <i r="1">
      <x v="1"/>
    </i>
    <i>
      <x v="14"/>
    </i>
    <i r="1">
      <x v="2"/>
    </i>
    <i r="1">
      <x v="5"/>
    </i>
    <i>
      <x v="15"/>
    </i>
    <i r="1">
      <x/>
    </i>
    <i r="1">
      <x v="4"/>
    </i>
    <i>
      <x v="16"/>
    </i>
    <i r="1">
      <x v="5"/>
    </i>
    <i>
      <x v="17"/>
    </i>
    <i r="1">
      <x v="4"/>
    </i>
    <i r="1">
      <x v="5"/>
    </i>
    <i>
      <x v="18"/>
    </i>
    <i r="1">
      <x v="1"/>
    </i>
    <i r="1">
      <x v="2"/>
    </i>
    <i>
      <x v="19"/>
    </i>
    <i r="1">
      <x/>
    </i>
    <i r="1">
      <x v="1"/>
    </i>
    <i r="1">
      <x v="4"/>
    </i>
    <i r="1">
      <x v="5"/>
    </i>
    <i>
      <x v="20"/>
    </i>
    <i r="1">
      <x v="2"/>
    </i>
    <i r="1">
      <x v="3"/>
    </i>
    <i r="1">
      <x v="5"/>
    </i>
    <i>
      <x v="21"/>
    </i>
    <i r="1">
      <x v="1"/>
    </i>
    <i r="1">
      <x v="2"/>
    </i>
    <i r="1">
      <x v="3"/>
    </i>
    <i>
      <x v="22"/>
    </i>
    <i r="1">
      <x v="2"/>
    </i>
    <i r="1">
      <x v="4"/>
    </i>
    <i r="1">
      <x v="5"/>
    </i>
    <i>
      <x v="23"/>
    </i>
    <i r="1">
      <x v="2"/>
    </i>
    <i r="1">
      <x v="3"/>
    </i>
    <i>
      <x v="24"/>
    </i>
    <i r="1">
      <x/>
    </i>
    <i r="1">
      <x v="3"/>
    </i>
    <i r="1">
      <x v="4"/>
    </i>
    <i r="1">
      <x v="5"/>
    </i>
    <i>
      <x v="25"/>
    </i>
    <i r="1">
      <x/>
    </i>
    <i r="1">
      <x v="2"/>
    </i>
    <i r="1">
      <x v="5"/>
    </i>
    <i>
      <x v="26"/>
    </i>
    <i r="1">
      <x v="3"/>
    </i>
    <i r="1">
      <x v="4"/>
    </i>
    <i r="1">
      <x v="5"/>
    </i>
    <i>
      <x v="27"/>
    </i>
    <i r="1">
      <x/>
    </i>
    <i r="1">
      <x v="1"/>
    </i>
    <i r="1">
      <x v="3"/>
    </i>
    <i>
      <x v="28"/>
    </i>
    <i r="1">
      <x/>
    </i>
    <i r="1">
      <x v="3"/>
    </i>
    <i r="1">
      <x v="5"/>
    </i>
    <i>
      <x v="29"/>
    </i>
    <i r="1">
      <x/>
    </i>
    <i r="1">
      <x v="1"/>
    </i>
    <i r="1">
      <x v="4"/>
    </i>
    <i r="1">
      <x v="5"/>
    </i>
    <i>
      <x v="30"/>
    </i>
    <i r="1">
      <x v="5"/>
    </i>
    <i t="grand">
      <x/>
    </i>
  </rowItems>
  <colItems count="1">
    <i/>
  </colItems>
  <dataFields count="1">
    <dataField name="Average of Units" fld="5" subtotal="average"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7" cacheId="2" applyNumberFormats="0" applyBorderFormats="0" applyFontFormats="0" applyPatternFormats="0" applyAlignmentFormats="0" applyWidthHeightFormats="1" dataCaption="Values" updatedVersion="8" minRefreshableVersion="3" useAutoFormatting="1" itemPrintTitles="1" createdVersion="8" indent="0" multipleFieldFilters="0">
  <location ref="J178:J305" firstHeaderRow="1" firstDataRow="1" firstDataCol="1"/>
  <pivotFields count="10">
    <pivotField axis="axisRow" numFmtId="14" showAll="0">
      <items count="50">
        <item x="1"/>
        <item x="7"/>
        <item x="25"/>
        <item x="13"/>
        <item x="24"/>
        <item x="39"/>
        <item x="29"/>
        <item x="32"/>
        <item x="19"/>
        <item x="0"/>
        <item x="12"/>
        <item x="35"/>
        <item x="26"/>
        <item x="36"/>
        <item x="8"/>
        <item x="43"/>
        <item x="21"/>
        <item x="2"/>
        <item x="46"/>
        <item x="22"/>
        <item x="17"/>
        <item x="5"/>
        <item x="14"/>
        <item x="10"/>
        <item x="37"/>
        <item x="16"/>
        <item x="44"/>
        <item x="27"/>
        <item x="4"/>
        <item x="18"/>
        <item x="45"/>
        <item x="42"/>
        <item x="33"/>
        <item x="30"/>
        <item x="48"/>
        <item x="47"/>
        <item x="31"/>
        <item x="9"/>
        <item x="23"/>
        <item x="20"/>
        <item x="40"/>
        <item x="34"/>
        <item x="28"/>
        <item x="41"/>
        <item x="3"/>
        <item x="6"/>
        <item x="15"/>
        <item x="11"/>
        <item x="38"/>
        <item t="default"/>
      </items>
    </pivotField>
    <pivotField showAll="0">
      <items count="6">
        <item x="3"/>
        <item x="0"/>
        <item x="1"/>
        <item x="4"/>
        <item x="2"/>
        <item t="default"/>
      </items>
    </pivotField>
    <pivotField showAll="0">
      <items count="5">
        <item x="0"/>
        <item x="2"/>
        <item x="3"/>
        <item x="1"/>
        <item t="default"/>
      </items>
    </pivotField>
    <pivotField showAll="0"/>
    <pivotField axis="axisRow" showAll="0">
      <items count="32">
        <item n="RA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x="1"/>
        <item sd="0" x="2"/>
        <item sd="0" x="3"/>
        <item sd="0" x="4"/>
        <item sd="0" x="5"/>
        <item sd="0" x="6"/>
        <item sd="0" x="7"/>
        <item sd="0" x="8"/>
        <item sd="0" x="9"/>
        <item sd="0" x="10"/>
        <item sd="0" x="11"/>
        <item sd="0" x="12"/>
        <item sd="0" x="13"/>
        <item t="default"/>
      </items>
    </pivotField>
  </pivotFields>
  <rowFields count="4">
    <field x="9"/>
    <field x="4"/>
    <field x="8"/>
    <field x="0"/>
  </rowFields>
  <rowItems count="127">
    <i>
      <x v="1"/>
    </i>
    <i r="1">
      <x/>
    </i>
    <i r="2">
      <x v="1"/>
    </i>
    <i r="2">
      <x v="10"/>
    </i>
    <i r="2">
      <x v="18"/>
    </i>
    <i r="1">
      <x v="1"/>
    </i>
    <i r="2">
      <x v="2"/>
    </i>
    <i r="2">
      <x v="15"/>
    </i>
    <i r="2">
      <x v="18"/>
    </i>
    <i r="2">
      <x v="22"/>
    </i>
    <i r="2">
      <x v="29"/>
    </i>
    <i r="1">
      <x v="2"/>
    </i>
    <i r="2">
      <x v="4"/>
    </i>
    <i r="2">
      <x v="11"/>
    </i>
    <i r="2">
      <x v="24"/>
    </i>
    <i r="1">
      <x v="3"/>
    </i>
    <i r="2">
      <x v="18"/>
    </i>
    <i r="2">
      <x v="23"/>
    </i>
    <i r="2">
      <x v="26"/>
    </i>
    <i r="1">
      <x v="4"/>
    </i>
    <i r="2">
      <x v="10"/>
    </i>
    <i r="2">
      <x v="18"/>
    </i>
    <i r="2">
      <x v="21"/>
    </i>
    <i r="2">
      <x v="30"/>
    </i>
    <i r="1">
      <x v="5"/>
    </i>
    <i r="2">
      <x v="9"/>
    </i>
    <i r="2">
      <x v="17"/>
    </i>
    <i r="1">
      <x v="6"/>
    </i>
    <i r="2">
      <x v="5"/>
    </i>
    <i r="2">
      <x v="20"/>
    </i>
    <i r="1">
      <x v="7"/>
    </i>
    <i r="2">
      <x v="3"/>
    </i>
    <i r="2">
      <x v="10"/>
    </i>
    <i r="2">
      <x v="13"/>
    </i>
    <i r="2">
      <x v="21"/>
    </i>
    <i r="2">
      <x v="22"/>
    </i>
    <i r="2">
      <x v="28"/>
    </i>
    <i r="1">
      <x v="8"/>
    </i>
    <i r="2">
      <x v="26"/>
    </i>
    <i r="2">
      <x v="28"/>
    </i>
    <i r="1">
      <x v="9"/>
    </i>
    <i r="2">
      <x v="7"/>
    </i>
    <i r="2">
      <x v="17"/>
    </i>
    <i r="2">
      <x v="21"/>
    </i>
    <i r="1">
      <x v="10"/>
    </i>
    <i r="2">
      <x v="8"/>
    </i>
    <i r="2">
      <x v="17"/>
    </i>
    <i r="2">
      <x v="24"/>
    </i>
    <i r="1">
      <x v="11"/>
    </i>
    <i r="2">
      <x v="5"/>
    </i>
    <i r="1">
      <x v="12"/>
    </i>
    <i r="2">
      <x v="11"/>
    </i>
    <i r="2">
      <x v="12"/>
    </i>
    <i r="2">
      <x v="21"/>
    </i>
    <i r="1">
      <x v="13"/>
    </i>
    <i r="2">
      <x v="14"/>
    </i>
    <i r="2">
      <x v="25"/>
    </i>
    <i r="1">
      <x v="14"/>
    </i>
    <i r="2">
      <x v="2"/>
    </i>
    <i r="2">
      <x v="10"/>
    </i>
    <i r="2">
      <x v="22"/>
    </i>
    <i r="2">
      <x v="28"/>
    </i>
    <i r="1">
      <x v="15"/>
    </i>
    <i r="2">
      <x v="6"/>
    </i>
    <i r="2">
      <x v="26"/>
    </i>
    <i r="1">
      <x v="16"/>
    </i>
    <i r="2">
      <x v="28"/>
    </i>
    <i r="1">
      <x v="17"/>
    </i>
    <i r="2">
      <x v="10"/>
    </i>
    <i r="1">
      <x v="18"/>
    </i>
    <i r="2">
      <x v="18"/>
    </i>
    <i r="2">
      <x v="28"/>
    </i>
    <i r="1">
      <x v="19"/>
    </i>
    <i r="2">
      <x v="3"/>
    </i>
    <i r="2">
      <x v="6"/>
    </i>
    <i r="2">
      <x v="7"/>
    </i>
    <i r="2">
      <x v="9"/>
    </i>
    <i r="2">
      <x v="17"/>
    </i>
    <i r="2">
      <x v="18"/>
    </i>
    <i r="2">
      <x v="23"/>
    </i>
    <i r="1">
      <x v="20"/>
    </i>
    <i r="2">
      <x v="13"/>
    </i>
    <i r="2">
      <x v="18"/>
    </i>
    <i r="2">
      <x v="29"/>
    </i>
    <i r="1">
      <x v="21"/>
    </i>
    <i r="2">
      <x v="6"/>
    </i>
    <i r="2">
      <x v="13"/>
    </i>
    <i r="2">
      <x v="20"/>
    </i>
    <i r="2">
      <x v="26"/>
    </i>
    <i r="1">
      <x v="22"/>
    </i>
    <i r="2">
      <x v="6"/>
    </i>
    <i r="2">
      <x v="9"/>
    </i>
    <i r="2">
      <x v="16"/>
    </i>
    <i r="2">
      <x v="21"/>
    </i>
    <i r="2">
      <x v="27"/>
    </i>
    <i r="2">
      <x v="28"/>
    </i>
    <i r="1">
      <x v="23"/>
    </i>
    <i r="2">
      <x v="17"/>
    </i>
    <i r="1">
      <x v="24"/>
    </i>
    <i r="2">
      <x v="7"/>
    </i>
    <i r="2">
      <x v="19"/>
    </i>
    <i r="2">
      <x v="23"/>
    </i>
    <i r="1">
      <x v="25"/>
    </i>
    <i r="2">
      <x v="10"/>
    </i>
    <i r="2">
      <x v="21"/>
    </i>
    <i r="1">
      <x v="26"/>
    </i>
    <i r="2">
      <x v="5"/>
    </i>
    <i r="2">
      <x v="10"/>
    </i>
    <i r="2">
      <x v="30"/>
    </i>
    <i r="1">
      <x v="27"/>
    </i>
    <i r="2">
      <x v="3"/>
    </i>
    <i r="2">
      <x v="9"/>
    </i>
    <i r="1">
      <x v="28"/>
    </i>
    <i r="2">
      <x v="7"/>
    </i>
    <i r="2">
      <x v="12"/>
    </i>
    <i r="2">
      <x v="22"/>
    </i>
    <i r="2">
      <x v="23"/>
    </i>
    <i r="1">
      <x v="29"/>
    </i>
    <i r="2">
      <x v="15"/>
    </i>
    <i r="2">
      <x v="16"/>
    </i>
    <i r="2">
      <x v="18"/>
    </i>
    <i r="2">
      <x v="20"/>
    </i>
    <i r="2">
      <x v="22"/>
    </i>
    <i r="2">
      <x v="28"/>
    </i>
    <i r="1">
      <x v="30"/>
    </i>
    <i r="2">
      <x v="28"/>
    </i>
    <i t="grand">
      <x/>
    </i>
  </rowItems>
  <colItems count="1">
    <i/>
  </colItems>
  <pivotTableStyleInfo name="PivotStyleLight16" showRowHeaders="1" showColHeaders="1" showRowStripes="0" showColStripes="0" showLastColumn="1"/>
  <filters count="1">
    <filter fld="0" type="dateBetween" evalOrder="-1" id="1">
      <autoFilter ref="A1">
        <filterColumn colId="0">
          <customFilters and="1">
            <customFilter operator="greaterThanOrEqual" val="40544"/>
            <customFilter operator="lessThanOrEqual" val="40574"/>
          </customFilters>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 cacheId="2" applyNumberFormats="0" applyBorderFormats="0" applyFontFormats="0" applyPatternFormats="0" applyAlignmentFormats="0" applyWidthHeightFormats="1" dataCaption="Values" updatedVersion="8" minRefreshableVersion="3" useAutoFormatting="1" itemPrintTitles="1" createdVersion="8" indent="0" multipleFieldFilters="0">
  <location ref="J53:L58" firstHeaderRow="0" firstDataRow="1" firstDataCol="1"/>
  <pivotFields count="10">
    <pivotField numFmtId="14" showAll="0">
      <items count="50">
        <item x="1"/>
        <item x="7"/>
        <item x="25"/>
        <item x="13"/>
        <item x="24"/>
        <item x="39"/>
        <item x="29"/>
        <item x="32"/>
        <item x="19"/>
        <item x="0"/>
        <item x="12"/>
        <item x="35"/>
        <item x="26"/>
        <item x="36"/>
        <item x="8"/>
        <item x="43"/>
        <item x="21"/>
        <item x="2"/>
        <item x="46"/>
        <item x="22"/>
        <item x="17"/>
        <item x="5"/>
        <item x="14"/>
        <item x="10"/>
        <item x="37"/>
        <item x="16"/>
        <item x="44"/>
        <item x="27"/>
        <item x="4"/>
        <item x="18"/>
        <item x="45"/>
        <item x="42"/>
        <item x="33"/>
        <item x="30"/>
        <item x="48"/>
        <item x="47"/>
        <item x="31"/>
        <item x="9"/>
        <item x="23"/>
        <item x="20"/>
        <item x="40"/>
        <item x="34"/>
        <item x="28"/>
        <item x="41"/>
        <item x="3"/>
        <item x="6"/>
        <item x="15"/>
        <item x="11"/>
        <item x="38"/>
        <item t="default"/>
      </items>
    </pivotField>
    <pivotField showAll="0"/>
    <pivotField axis="axisRow" showAll="0">
      <items count="5">
        <item x="0"/>
        <item x="2"/>
        <item x="3"/>
        <item x="1"/>
        <item t="default"/>
      </items>
    </pivotField>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Fields count="1">
    <field x="-2"/>
  </colFields>
  <colItems count="2">
    <i>
      <x/>
    </i>
    <i i="1">
      <x v="1"/>
    </i>
  </colItems>
  <dataFields count="2">
    <dataField name="Average of Discount" fld="7" subtotal="average" baseField="0" baseItem="0"/>
    <dataField name="Sum of Discount" fld="7"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5" cacheId="2" applyNumberFormats="0" applyBorderFormats="0" applyFontFormats="0" applyPatternFormats="0" applyAlignmentFormats="0" applyWidthHeightFormats="1" dataCaption="Values" updatedVersion="8" minRefreshableVersion="3" useAutoFormatting="1" itemPrintTitles="1" createdVersion="8" indent="0" multipleFieldFilters="0">
  <location ref="J97:J103" firstHeaderRow="1" firstDataRow="1" firstDataCol="1"/>
  <pivotFields count="10">
    <pivotField numFmtId="14" showAll="0">
      <items count="50">
        <item x="1"/>
        <item x="7"/>
        <item x="25"/>
        <item x="13"/>
        <item x="24"/>
        <item x="39"/>
        <item x="29"/>
        <item x="32"/>
        <item x="19"/>
        <item x="0"/>
        <item x="12"/>
        <item x="35"/>
        <item x="26"/>
        <item x="36"/>
        <item x="8"/>
        <item x="43"/>
        <item x="21"/>
        <item x="2"/>
        <item x="46"/>
        <item x="22"/>
        <item x="17"/>
        <item x="5"/>
        <item x="14"/>
        <item x="10"/>
        <item x="37"/>
        <item x="16"/>
        <item x="44"/>
        <item x="27"/>
        <item x="4"/>
        <item x="18"/>
        <item x="45"/>
        <item x="42"/>
        <item x="33"/>
        <item x="30"/>
        <item x="48"/>
        <item x="47"/>
        <item x="31"/>
        <item x="9"/>
        <item x="23"/>
        <item x="20"/>
        <item x="40"/>
        <item x="34"/>
        <item x="28"/>
        <item x="41"/>
        <item x="3"/>
        <item x="6"/>
        <item x="15"/>
        <item x="11"/>
        <item x="38"/>
        <item t="default"/>
      </items>
    </pivotField>
    <pivotField axis="axisRow" showAll="0">
      <items count="6">
        <item x="3"/>
        <item x="0"/>
        <item x="1"/>
        <item x="4"/>
        <item x="2"/>
        <item t="default"/>
      </items>
    </pivotField>
    <pivotField showAll="0">
      <items count="5">
        <item x="0"/>
        <item x="2"/>
        <item x="3"/>
        <item x="1"/>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6">
    <i>
      <x/>
    </i>
    <i>
      <x v="1"/>
    </i>
    <i>
      <x v="2"/>
    </i>
    <i>
      <x v="3"/>
    </i>
    <i>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2" cacheId="2" applyNumberFormats="0" applyBorderFormats="0" applyFontFormats="0" applyPatternFormats="0" applyAlignmentFormats="0" applyWidthHeightFormats="1" dataCaption="Values" updatedVersion="6" minRefreshableVersion="3" useAutoFormatting="1" itemPrintTitles="1" createdVersion="8" indent="0" multipleFieldFilters="0">
  <location ref="A190:C300" firstHeaderRow="0" firstDataRow="1" firstDataCol="1"/>
  <pivotFields count="10">
    <pivotField numFmtId="14" showAll="0">
      <items count="50">
        <item x="1"/>
        <item x="7"/>
        <item x="25"/>
        <item x="13"/>
        <item x="24"/>
        <item x="39"/>
        <item x="29"/>
        <item x="32"/>
        <item x="19"/>
        <item x="0"/>
        <item x="12"/>
        <item x="35"/>
        <item x="26"/>
        <item x="36"/>
        <item x="8"/>
        <item x="43"/>
        <item x="21"/>
        <item x="2"/>
        <item x="46"/>
        <item x="22"/>
        <item x="17"/>
        <item x="5"/>
        <item x="14"/>
        <item x="10"/>
        <item x="37"/>
        <item x="16"/>
        <item x="44"/>
        <item x="27"/>
        <item x="4"/>
        <item x="18"/>
        <item x="45"/>
        <item x="42"/>
        <item x="33"/>
        <item x="30"/>
        <item x="48"/>
        <item x="47"/>
        <item x="31"/>
        <item x="9"/>
        <item x="23"/>
        <item x="20"/>
        <item x="40"/>
        <item x="34"/>
        <item x="28"/>
        <item x="41"/>
        <item x="3"/>
        <item x="6"/>
        <item x="15"/>
        <item x="11"/>
        <item x="38"/>
        <item t="default"/>
      </items>
    </pivotField>
    <pivotField axis="axisRow" showAll="0">
      <items count="6">
        <item x="3"/>
        <item x="0"/>
        <item x="1"/>
        <item x="4"/>
        <item x="2"/>
        <item t="default"/>
      </items>
    </pivotField>
    <pivotField showAll="0">
      <items count="5">
        <item x="0"/>
        <item x="2"/>
        <item x="3"/>
        <item x="1"/>
        <item t="default"/>
      </items>
    </pivotField>
    <pivotField showAll="0"/>
    <pivotField axis="axisRow" showAll="0">
      <items count="32">
        <item n="RA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4"/>
    <field x="1"/>
  </rowFields>
  <rowItems count="110">
    <i>
      <x/>
    </i>
    <i r="1">
      <x v="1"/>
    </i>
    <i r="1">
      <x v="2"/>
    </i>
    <i r="1">
      <x v="4"/>
    </i>
    <i>
      <x v="1"/>
    </i>
    <i r="1">
      <x/>
    </i>
    <i r="1">
      <x v="2"/>
    </i>
    <i r="1">
      <x v="3"/>
    </i>
    <i r="1">
      <x v="4"/>
    </i>
    <i>
      <x v="2"/>
    </i>
    <i r="1">
      <x v="1"/>
    </i>
    <i r="1">
      <x v="2"/>
    </i>
    <i r="1">
      <x v="3"/>
    </i>
    <i>
      <x v="3"/>
    </i>
    <i r="1">
      <x/>
    </i>
    <i r="1">
      <x v="3"/>
    </i>
    <i>
      <x v="4"/>
    </i>
    <i r="1">
      <x/>
    </i>
    <i r="1">
      <x v="2"/>
    </i>
    <i r="1">
      <x v="4"/>
    </i>
    <i>
      <x v="5"/>
    </i>
    <i r="1">
      <x/>
    </i>
    <i r="1">
      <x v="2"/>
    </i>
    <i>
      <x v="6"/>
    </i>
    <i r="1">
      <x v="1"/>
    </i>
    <i r="1">
      <x v="4"/>
    </i>
    <i>
      <x v="7"/>
    </i>
    <i r="1">
      <x/>
    </i>
    <i r="1">
      <x v="1"/>
    </i>
    <i r="1">
      <x v="2"/>
    </i>
    <i r="1">
      <x v="3"/>
    </i>
    <i r="1">
      <x v="4"/>
    </i>
    <i>
      <x v="8"/>
    </i>
    <i r="1">
      <x/>
    </i>
    <i r="1">
      <x v="4"/>
    </i>
    <i>
      <x v="9"/>
    </i>
    <i r="1">
      <x v="1"/>
    </i>
    <i r="1">
      <x v="3"/>
    </i>
    <i r="1">
      <x v="4"/>
    </i>
    <i>
      <x v="10"/>
    </i>
    <i r="1">
      <x v="2"/>
    </i>
    <i>
      <x v="11"/>
    </i>
    <i r="1">
      <x v="1"/>
    </i>
    <i>
      <x v="12"/>
    </i>
    <i r="1">
      <x v="2"/>
    </i>
    <i r="1">
      <x v="3"/>
    </i>
    <i>
      <x v="13"/>
    </i>
    <i r="1">
      <x v="1"/>
    </i>
    <i r="1">
      <x v="4"/>
    </i>
    <i>
      <x v="14"/>
    </i>
    <i r="1">
      <x/>
    </i>
    <i r="1">
      <x v="1"/>
    </i>
    <i r="1">
      <x v="2"/>
    </i>
    <i>
      <x v="15"/>
    </i>
    <i r="1">
      <x/>
    </i>
    <i r="1">
      <x v="1"/>
    </i>
    <i>
      <x v="16"/>
    </i>
    <i r="1">
      <x v="1"/>
    </i>
    <i>
      <x v="17"/>
    </i>
    <i r="1">
      <x v="3"/>
    </i>
    <i>
      <x v="18"/>
    </i>
    <i r="1">
      <x v="1"/>
    </i>
    <i r="1">
      <x v="3"/>
    </i>
    <i>
      <x v="19"/>
    </i>
    <i r="1">
      <x/>
    </i>
    <i r="1">
      <x v="1"/>
    </i>
    <i r="1">
      <x v="2"/>
    </i>
    <i r="1">
      <x v="3"/>
    </i>
    <i r="1">
      <x v="4"/>
    </i>
    <i>
      <x v="20"/>
    </i>
    <i r="1">
      <x/>
    </i>
    <i r="1">
      <x v="2"/>
    </i>
    <i>
      <x v="21"/>
    </i>
    <i r="1">
      <x/>
    </i>
    <i r="1">
      <x v="4"/>
    </i>
    <i>
      <x v="22"/>
    </i>
    <i r="1">
      <x/>
    </i>
    <i r="1">
      <x v="1"/>
    </i>
    <i r="1">
      <x v="4"/>
    </i>
    <i>
      <x v="23"/>
    </i>
    <i r="1">
      <x/>
    </i>
    <i r="1">
      <x v="2"/>
    </i>
    <i>
      <x v="24"/>
    </i>
    <i r="1">
      <x/>
    </i>
    <i r="1">
      <x v="3"/>
    </i>
    <i r="1">
      <x v="4"/>
    </i>
    <i>
      <x v="25"/>
    </i>
    <i r="1">
      <x/>
    </i>
    <i r="1">
      <x v="3"/>
    </i>
    <i r="1">
      <x v="4"/>
    </i>
    <i>
      <x v="26"/>
    </i>
    <i r="1">
      <x v="2"/>
    </i>
    <i r="1">
      <x v="3"/>
    </i>
    <i r="1">
      <x v="4"/>
    </i>
    <i>
      <x v="27"/>
    </i>
    <i r="1">
      <x/>
    </i>
    <i r="1">
      <x v="1"/>
    </i>
    <i r="1">
      <x v="3"/>
    </i>
    <i>
      <x v="28"/>
    </i>
    <i r="1">
      <x/>
    </i>
    <i r="1">
      <x v="2"/>
    </i>
    <i r="1">
      <x v="3"/>
    </i>
    <i>
      <x v="29"/>
    </i>
    <i r="1">
      <x/>
    </i>
    <i r="1">
      <x v="1"/>
    </i>
    <i r="1">
      <x v="2"/>
    </i>
    <i r="1">
      <x v="4"/>
    </i>
    <i>
      <x v="30"/>
    </i>
    <i r="1">
      <x v="3"/>
    </i>
    <i t="grand">
      <x/>
    </i>
  </rowItems>
  <colFields count="1">
    <field x="-2"/>
  </colFields>
  <colItems count="2">
    <i>
      <x/>
    </i>
    <i i="1">
      <x v="1"/>
    </i>
  </colItems>
  <dataFields count="2">
    <dataField name="Max of sales" fld="6" subtotal="max" baseField="4" baseItem="0"/>
    <dataField name="Min of sales" fld="6" subtotal="min"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3" cacheId="2" applyNumberFormats="0" applyBorderFormats="0" applyFontFormats="0" applyPatternFormats="0" applyAlignmentFormats="0" applyWidthHeightFormats="1" dataCaption="Values" updatedVersion="6" minRefreshableVersion="3" useAutoFormatting="1" itemPrintTitles="1" createdVersion="8" indent="0" multipleFieldFilters="0">
  <location ref="G191:H192" firstHeaderRow="0" firstDataRow="1" firstDataCol="0"/>
  <pivotFields count="10">
    <pivotField numFmtId="14" showAll="0">
      <items count="50">
        <item x="1"/>
        <item x="7"/>
        <item x="25"/>
        <item x="13"/>
        <item x="24"/>
        <item x="39"/>
        <item x="29"/>
        <item x="32"/>
        <item x="19"/>
        <item x="0"/>
        <item x="12"/>
        <item x="35"/>
        <item x="26"/>
        <item x="36"/>
        <item x="8"/>
        <item x="43"/>
        <item x="21"/>
        <item x="2"/>
        <item x="46"/>
        <item x="22"/>
        <item x="17"/>
        <item x="5"/>
        <item x="14"/>
        <item x="10"/>
        <item x="37"/>
        <item x="16"/>
        <item x="44"/>
        <item x="27"/>
        <item x="4"/>
        <item x="18"/>
        <item x="45"/>
        <item x="42"/>
        <item x="33"/>
        <item x="30"/>
        <item x="48"/>
        <item x="47"/>
        <item x="31"/>
        <item x="9"/>
        <item x="23"/>
        <item x="20"/>
        <item x="40"/>
        <item x="34"/>
        <item x="28"/>
        <item x="41"/>
        <item x="3"/>
        <item x="6"/>
        <item x="15"/>
        <item x="11"/>
        <item x="38"/>
        <item t="default"/>
      </items>
    </pivotField>
    <pivotField showAll="0"/>
    <pivotField showAll="0">
      <items count="5">
        <item x="0"/>
        <item x="2"/>
        <item x="3"/>
        <item x="1"/>
        <item t="default"/>
      </items>
    </pivotField>
    <pivotField showAll="0"/>
    <pivotField showAll="0"/>
    <pivotField dataField="1" showAll="0"/>
    <pivotField dataField="1" showAll="0">
      <items count="91">
        <item x="58"/>
        <item x="82"/>
        <item x="7"/>
        <item x="21"/>
        <item x="11"/>
        <item x="87"/>
        <item x="60"/>
        <item x="20"/>
        <item x="66"/>
        <item x="74"/>
        <item x="49"/>
        <item x="53"/>
        <item x="31"/>
        <item x="30"/>
        <item x="8"/>
        <item x="63"/>
        <item x="45"/>
        <item x="50"/>
        <item x="46"/>
        <item x="43"/>
        <item x="36"/>
        <item x="38"/>
        <item x="44"/>
        <item x="69"/>
        <item x="1"/>
        <item x="15"/>
        <item x="10"/>
        <item x="2"/>
        <item x="14"/>
        <item x="22"/>
        <item x="55"/>
        <item x="81"/>
        <item x="40"/>
        <item x="64"/>
        <item x="75"/>
        <item x="76"/>
        <item x="79"/>
        <item x="72"/>
        <item x="9"/>
        <item x="62"/>
        <item x="41"/>
        <item x="77"/>
        <item x="65"/>
        <item x="27"/>
        <item x="89"/>
        <item x="68"/>
        <item x="71"/>
        <item x="39"/>
        <item x="25"/>
        <item x="56"/>
        <item x="5"/>
        <item x="80"/>
        <item x="17"/>
        <item x="51"/>
        <item x="12"/>
        <item x="16"/>
        <item x="29"/>
        <item x="47"/>
        <item x="61"/>
        <item x="48"/>
        <item x="3"/>
        <item x="88"/>
        <item x="83"/>
        <item x="32"/>
        <item x="86"/>
        <item x="70"/>
        <item x="4"/>
        <item x="57"/>
        <item x="52"/>
        <item x="23"/>
        <item x="78"/>
        <item x="67"/>
        <item x="85"/>
        <item x="84"/>
        <item x="59"/>
        <item x="73"/>
        <item x="13"/>
        <item x="26"/>
        <item x="6"/>
        <item x="19"/>
        <item x="35"/>
        <item x="0"/>
        <item x="37"/>
        <item x="24"/>
        <item x="18"/>
        <item x="33"/>
        <item x="34"/>
        <item x="54"/>
        <item x="42"/>
        <item x="28"/>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2">
    <i>
      <x/>
    </i>
    <i i="1">
      <x v="1"/>
    </i>
  </colItems>
  <dataFields count="2">
    <dataField name="Sum of sales" fld="6" baseField="0" baseItem="0"/>
    <dataField name="Sum of Unit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1" cacheId="2" applyNumberFormats="0" applyBorderFormats="0" applyFontFormats="0" applyPatternFormats="0" applyAlignmentFormats="0" applyWidthHeightFormats="1" dataCaption="Values" updatedVersion="6" minRefreshableVersion="3" useAutoFormatting="1" itemPrintTitles="1" createdVersion="8" indent="0" multipleFieldFilters="0">
  <location ref="A177:B182" firstHeaderRow="1" firstDataRow="1" firstDataCol="1"/>
  <pivotFields count="10">
    <pivotField numFmtId="14" showAll="0">
      <items count="50">
        <item x="1"/>
        <item x="7"/>
        <item x="25"/>
        <item x="13"/>
        <item x="24"/>
        <item x="39"/>
        <item x="29"/>
        <item x="32"/>
        <item x="19"/>
        <item x="0"/>
        <item x="12"/>
        <item x="35"/>
        <item x="26"/>
        <item x="36"/>
        <item x="8"/>
        <item x="43"/>
        <item x="21"/>
        <item x="2"/>
        <item x="46"/>
        <item x="22"/>
        <item x="17"/>
        <item x="5"/>
        <item x="14"/>
        <item x="10"/>
        <item x="37"/>
        <item x="16"/>
        <item x="44"/>
        <item x="27"/>
        <item x="4"/>
        <item x="18"/>
        <item x="45"/>
        <item x="42"/>
        <item x="33"/>
        <item x="30"/>
        <item x="48"/>
        <item x="47"/>
        <item x="31"/>
        <item x="9"/>
        <item x="23"/>
        <item x="20"/>
        <item x="40"/>
        <item x="34"/>
        <item x="28"/>
        <item x="41"/>
        <item x="3"/>
        <item x="6"/>
        <item x="15"/>
        <item x="11"/>
        <item x="38"/>
        <item t="default"/>
      </items>
    </pivotField>
    <pivotField showAll="0"/>
    <pivotField axis="axisRow" showAll="0">
      <items count="5">
        <item x="0"/>
        <item x="2"/>
        <item x="3"/>
        <item x="1"/>
        <item t="default"/>
      </items>
    </pivotField>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Discount" fld="7"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4" cacheId="2" applyNumberFormats="0" applyBorderFormats="0" applyFontFormats="0" applyPatternFormats="0" applyAlignmentFormats="0" applyWidthHeightFormats="1" dataCaption="Values" updatedVersion="8" minRefreshableVersion="3" useAutoFormatting="1" itemPrintTitles="1" createdVersion="8" indent="0" multipleFieldFilters="0">
  <location ref="J71:L94" firstHeaderRow="1" firstDataRow="2" firstDataCol="1"/>
  <pivotFields count="10">
    <pivotField numFmtId="14" showAll="0">
      <items count="50">
        <item x="1"/>
        <item x="7"/>
        <item x="25"/>
        <item x="13"/>
        <item x="24"/>
        <item x="39"/>
        <item x="29"/>
        <item x="32"/>
        <item x="19"/>
        <item x="0"/>
        <item x="12"/>
        <item x="35"/>
        <item x="26"/>
        <item x="36"/>
        <item x="8"/>
        <item x="43"/>
        <item x="21"/>
        <item x="2"/>
        <item x="46"/>
        <item x="22"/>
        <item x="17"/>
        <item x="5"/>
        <item x="14"/>
        <item x="10"/>
        <item x="37"/>
        <item x="16"/>
        <item x="44"/>
        <item x="27"/>
        <item x="4"/>
        <item x="18"/>
        <item x="45"/>
        <item x="42"/>
        <item x="33"/>
        <item x="30"/>
        <item x="48"/>
        <item x="47"/>
        <item x="31"/>
        <item x="9"/>
        <item x="23"/>
        <item x="20"/>
        <item x="40"/>
        <item x="34"/>
        <item x="28"/>
        <item x="41"/>
        <item x="3"/>
        <item x="6"/>
        <item x="15"/>
        <item x="11"/>
        <item x="38"/>
        <item t="default"/>
      </items>
    </pivotField>
    <pivotField showAll="0"/>
    <pivotField axis="axisCol" multipleItemSelectionAllowed="1" showAll="0">
      <items count="5">
        <item x="0"/>
        <item h="1" x="2"/>
        <item h="1" x="3"/>
        <item h="1" x="1"/>
        <item t="default"/>
      </items>
    </pivotField>
    <pivotField showAll="0"/>
    <pivotField axis="axisRow" showAll="0">
      <items count="32">
        <item n="RA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22">
    <i>
      <x/>
    </i>
    <i>
      <x v="1"/>
    </i>
    <i>
      <x v="2"/>
    </i>
    <i>
      <x v="3"/>
    </i>
    <i>
      <x v="4"/>
    </i>
    <i>
      <x v="5"/>
    </i>
    <i>
      <x v="6"/>
    </i>
    <i>
      <x v="7"/>
    </i>
    <i>
      <x v="10"/>
    </i>
    <i>
      <x v="12"/>
    </i>
    <i>
      <x v="13"/>
    </i>
    <i>
      <x v="15"/>
    </i>
    <i>
      <x v="17"/>
    </i>
    <i>
      <x v="18"/>
    </i>
    <i>
      <x v="19"/>
    </i>
    <i>
      <x v="21"/>
    </i>
    <i>
      <x v="23"/>
    </i>
    <i>
      <x v="25"/>
    </i>
    <i>
      <x v="27"/>
    </i>
    <i>
      <x v="28"/>
    </i>
    <i>
      <x v="30"/>
    </i>
    <i t="grand">
      <x/>
    </i>
  </rowItems>
  <colFields count="1">
    <field x="2"/>
  </colFields>
  <colItems count="2">
    <i>
      <x/>
    </i>
    <i t="grand">
      <x/>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8" minRefreshableVersion="3" useAutoFormatting="1" itemPrintTitles="1" createdVersion="8" indent="0" multipleFieldFilters="0">
  <location ref="J23:K49" firstHeaderRow="1" firstDataRow="1" firstDataCol="1"/>
  <pivotFields count="10">
    <pivotField numFmtId="14" showAll="0">
      <items count="50">
        <item x="1"/>
        <item x="7"/>
        <item x="25"/>
        <item x="13"/>
        <item x="24"/>
        <item x="39"/>
        <item x="29"/>
        <item x="32"/>
        <item x="19"/>
        <item x="0"/>
        <item x="12"/>
        <item x="35"/>
        <item x="26"/>
        <item x="36"/>
        <item x="8"/>
        <item x="43"/>
        <item x="21"/>
        <item x="2"/>
        <item x="46"/>
        <item x="22"/>
        <item x="17"/>
        <item x="5"/>
        <item x="14"/>
        <item x="10"/>
        <item x="37"/>
        <item x="16"/>
        <item x="44"/>
        <item x="27"/>
        <item x="4"/>
        <item x="18"/>
        <item x="45"/>
        <item x="42"/>
        <item x="33"/>
        <item x="30"/>
        <item x="48"/>
        <item x="47"/>
        <item x="31"/>
        <item x="9"/>
        <item x="23"/>
        <item x="20"/>
        <item x="40"/>
        <item x="34"/>
        <item x="28"/>
        <item x="41"/>
        <item x="3"/>
        <item x="6"/>
        <item x="15"/>
        <item x="11"/>
        <item x="38"/>
        <item t="default"/>
      </items>
    </pivotField>
    <pivotField axis="axisRow" showAll="0">
      <items count="6">
        <item x="3"/>
        <item x="0"/>
        <item x="1"/>
        <item x="4"/>
        <item x="2"/>
        <item t="default"/>
      </items>
    </pivotField>
    <pivotField axis="axisRow" showAll="0">
      <items count="5">
        <item x="0"/>
        <item x="2"/>
        <item x="3"/>
        <item x="1"/>
        <item t="default"/>
      </items>
    </pivotField>
    <pivotField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1"/>
    <field x="2"/>
  </rowFields>
  <rowItems count="26">
    <i>
      <x/>
    </i>
    <i r="1">
      <x/>
    </i>
    <i r="1">
      <x v="1"/>
    </i>
    <i r="1">
      <x v="2"/>
    </i>
    <i r="1">
      <x v="3"/>
    </i>
    <i>
      <x v="1"/>
    </i>
    <i r="1">
      <x/>
    </i>
    <i r="1">
      <x v="1"/>
    </i>
    <i r="1">
      <x v="2"/>
    </i>
    <i r="1">
      <x v="3"/>
    </i>
    <i>
      <x v="2"/>
    </i>
    <i r="1">
      <x/>
    </i>
    <i r="1">
      <x v="1"/>
    </i>
    <i r="1">
      <x v="2"/>
    </i>
    <i r="1">
      <x v="3"/>
    </i>
    <i>
      <x v="3"/>
    </i>
    <i r="1">
      <x/>
    </i>
    <i r="1">
      <x v="1"/>
    </i>
    <i r="1">
      <x v="2"/>
    </i>
    <i r="1">
      <x v="3"/>
    </i>
    <i>
      <x v="4"/>
    </i>
    <i r="1">
      <x/>
    </i>
    <i r="1">
      <x v="1"/>
    </i>
    <i r="1">
      <x v="2"/>
    </i>
    <i r="1">
      <x v="3"/>
    </i>
    <i t="grand">
      <x/>
    </i>
  </rowItems>
  <colItems count="1">
    <i/>
  </colItems>
  <dataFields count="1">
    <dataField name="Max of sales" fld="6"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8" cacheId="2"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138:A170" firstHeaderRow="1" firstDataRow="1" firstDataCol="1"/>
  <pivotFields count="10">
    <pivotField numFmtId="14" showAll="0">
      <items count="50">
        <item x="1"/>
        <item x="7"/>
        <item x="25"/>
        <item x="13"/>
        <item x="24"/>
        <item x="39"/>
        <item x="29"/>
        <item x="32"/>
        <item x="19"/>
        <item x="0"/>
        <item x="12"/>
        <item x="35"/>
        <item x="26"/>
        <item x="36"/>
        <item x="8"/>
        <item x="43"/>
        <item x="21"/>
        <item x="2"/>
        <item x="46"/>
        <item x="22"/>
        <item x="17"/>
        <item x="5"/>
        <item x="14"/>
        <item x="10"/>
        <item x="37"/>
        <item x="16"/>
        <item x="44"/>
        <item x="27"/>
        <item x="4"/>
        <item x="18"/>
        <item x="45"/>
        <item x="42"/>
        <item x="33"/>
        <item x="30"/>
        <item x="48"/>
        <item x="47"/>
        <item x="31"/>
        <item x="9"/>
        <item x="23"/>
        <item x="20"/>
        <item x="40"/>
        <item x="34"/>
        <item x="28"/>
        <item x="41"/>
        <item x="3"/>
        <item x="6"/>
        <item x="15"/>
        <item x="11"/>
        <item x="38"/>
        <item t="default"/>
      </items>
    </pivotField>
    <pivotField showAll="0">
      <items count="6">
        <item x="3"/>
        <item x="0"/>
        <item x="1"/>
        <item x="4"/>
        <item x="2"/>
        <item t="default"/>
      </items>
    </pivotField>
    <pivotField showAll="0">
      <items count="5">
        <item x="0"/>
        <item x="2"/>
        <item x="3"/>
        <item x="1"/>
        <item t="default"/>
      </items>
    </pivotField>
    <pivotField showAll="0"/>
    <pivotField axis="axisRow" showAll="0" sortType="ascending">
      <items count="32">
        <item n="RA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8"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rowHeaderCaption="Gender">
  <location ref="BJ23:BK36" firstHeaderRow="1" firstDataRow="1" firstDataCol="1"/>
  <pivotFields count="16">
    <pivotField numFmtId="14" showAll="0"/>
    <pivotField axis="axisRow" showAll="0">
      <items count="6">
        <item x="3"/>
        <item x="0"/>
        <item x="1"/>
        <item x="4"/>
        <item x="2"/>
        <item t="default"/>
      </items>
    </pivotField>
    <pivotField showAll="0"/>
    <pivotField dataField="1"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s>
  <rowFields count="2">
    <field x="4"/>
    <field x="1"/>
  </rowFields>
  <rowItems count="13">
    <i>
      <x/>
    </i>
    <i r="1">
      <x/>
    </i>
    <i r="1">
      <x v="1"/>
    </i>
    <i r="1">
      <x v="2"/>
    </i>
    <i r="1">
      <x v="3"/>
    </i>
    <i r="1">
      <x v="4"/>
    </i>
    <i>
      <x v="1"/>
    </i>
    <i r="1">
      <x/>
    </i>
    <i r="1">
      <x v="1"/>
    </i>
    <i r="1">
      <x v="2"/>
    </i>
    <i r="1">
      <x v="3"/>
    </i>
    <i r="1">
      <x v="4"/>
    </i>
    <i t="grand">
      <x/>
    </i>
  </rowItems>
  <colItems count="1">
    <i/>
  </colItems>
  <dataFields count="1">
    <dataField name="Max of Sales" fld="3" subtotal="max" baseField="4"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7"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rowHeaderCaption="Gender">
  <location ref="BJ3:BK6" firstHeaderRow="1" firstDataRow="1" firstDataCol="1"/>
  <pivotFields count="16">
    <pivotField numFmtId="14"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dataField="1" showAll="0"/>
    <pivotField axis="axisRow" showAll="0">
      <items count="3">
        <item x="1"/>
        <item x="0"/>
        <item t="default"/>
      </items>
    </pivotField>
  </pivotFields>
  <rowFields count="1">
    <field x="15"/>
  </rowFields>
  <rowItems count="3">
    <i>
      <x/>
    </i>
    <i>
      <x v="1"/>
    </i>
    <i t="grand">
      <x/>
    </i>
  </rowItems>
  <colItems count="1">
    <i/>
  </colItems>
  <dataFields count="1">
    <dataField name="Average of Total" fld="14" subtotal="average" baseField="15"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PivotTable6"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Customer">
  <location ref="BD3:BF41" firstHeaderRow="0" firstDataRow="1" firstDataCol="1"/>
  <pivotFields count="16">
    <pivotField numFmtId="14" showAll="0"/>
    <pivotField showAll="0"/>
    <pivotField showAll="0"/>
    <pivotField showAll="0"/>
    <pivotField showAll="0">
      <items count="3">
        <item x="1"/>
        <item x="0"/>
        <item t="default"/>
      </items>
    </pivotField>
    <pivotField showAll="0"/>
    <pivotField axis="axisRow" showAll="0">
      <items count="38">
        <item x="1"/>
        <item x="0"/>
        <item x="5"/>
        <item x="8"/>
        <item x="9"/>
        <item x="10"/>
        <item x="11"/>
        <item x="12"/>
        <item x="13"/>
        <item x="14"/>
        <item x="15"/>
        <item x="16"/>
        <item x="17"/>
        <item x="18"/>
        <item x="19"/>
        <item x="4"/>
        <item x="20"/>
        <item x="21"/>
        <item x="22"/>
        <item x="23"/>
        <item x="24"/>
        <item x="25"/>
        <item x="26"/>
        <item x="27"/>
        <item x="28"/>
        <item x="2"/>
        <item x="6"/>
        <item x="3"/>
        <item x="29"/>
        <item x="30"/>
        <item x="31"/>
        <item x="32"/>
        <item x="33"/>
        <item x="34"/>
        <item x="7"/>
        <item x="35"/>
        <item x="36"/>
        <item t="default"/>
      </items>
    </pivotField>
    <pivotField showAll="0"/>
    <pivotField showAll="0"/>
    <pivotField showAll="0"/>
    <pivotField showAll="0"/>
    <pivotField showAll="0"/>
    <pivotField showAll="0"/>
    <pivotField showAll="0"/>
    <pivotField dataField="1" showAll="0">
      <items count="79">
        <item x="0"/>
        <item x="10"/>
        <item x="69"/>
        <item x="38"/>
        <item x="48"/>
        <item x="76"/>
        <item x="45"/>
        <item x="68"/>
        <item x="5"/>
        <item x="61"/>
        <item x="27"/>
        <item x="73"/>
        <item x="26"/>
        <item x="37"/>
        <item x="53"/>
        <item x="58"/>
        <item x="4"/>
        <item x="9"/>
        <item x="40"/>
        <item x="19"/>
        <item x="52"/>
        <item x="42"/>
        <item x="31"/>
        <item x="7"/>
        <item x="17"/>
        <item x="15"/>
        <item x="46"/>
        <item x="34"/>
        <item x="47"/>
        <item x="51"/>
        <item x="41"/>
        <item x="67"/>
        <item x="54"/>
        <item x="23"/>
        <item x="12"/>
        <item x="62"/>
        <item x="44"/>
        <item x="20"/>
        <item x="32"/>
        <item x="24"/>
        <item x="75"/>
        <item x="3"/>
        <item x="43"/>
        <item x="35"/>
        <item x="64"/>
        <item x="6"/>
        <item x="30"/>
        <item x="13"/>
        <item x="14"/>
        <item x="21"/>
        <item x="29"/>
        <item x="36"/>
        <item x="8"/>
        <item x="50"/>
        <item x="18"/>
        <item x="1"/>
        <item x="11"/>
        <item x="65"/>
        <item x="25"/>
        <item x="57"/>
        <item x="22"/>
        <item x="16"/>
        <item x="28"/>
        <item x="56"/>
        <item x="70"/>
        <item x="39"/>
        <item x="66"/>
        <item x="59"/>
        <item x="74"/>
        <item x="49"/>
        <item x="60"/>
        <item x="63"/>
        <item x="55"/>
        <item x="33"/>
        <item x="71"/>
        <item x="2"/>
        <item x="72"/>
        <item x="77"/>
        <item t="default"/>
      </items>
    </pivotField>
    <pivotField showAll="0">
      <items count="3">
        <item x="1"/>
        <item x="0"/>
        <item t="default"/>
      </items>
    </pivotField>
  </pivotFields>
  <rowFields count="1">
    <field x="6"/>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Fields count="1">
    <field x="-2"/>
  </colFields>
  <colItems count="2">
    <i>
      <x/>
    </i>
    <i i="1">
      <x v="1"/>
    </i>
  </colItems>
  <dataFields count="2">
    <dataField name="2nd Highest" fld="14" baseField="0" baseItem="0"/>
    <dataField name="3rd Lowest"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6.xml><?xml version="1.0" encoding="utf-8"?>
<pivotTableDefinition xmlns="http://schemas.openxmlformats.org/spreadsheetml/2006/main" name="PivotTable1"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Nationality &amp; Gender">
  <location ref="S24:T31" firstHeaderRow="1" firstDataRow="1" firstDataCol="1"/>
  <pivotFields count="16">
    <pivotField numFmtId="14"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dataField="1" showAll="0"/>
    <pivotField axis="axisRow" showAll="0">
      <items count="3">
        <item x="1"/>
        <item x="0"/>
        <item t="default"/>
      </items>
    </pivotField>
  </pivotFields>
  <rowFields count="2">
    <field x="15"/>
    <field x="4"/>
  </rowFields>
  <rowItems count="7">
    <i>
      <x/>
    </i>
    <i r="1">
      <x/>
    </i>
    <i r="1">
      <x v="1"/>
    </i>
    <i>
      <x v="1"/>
    </i>
    <i r="1">
      <x/>
    </i>
    <i r="1">
      <x v="1"/>
    </i>
    <i t="grand">
      <x/>
    </i>
  </rowItems>
  <colItems count="1">
    <i/>
  </colItems>
  <dataFields count="1">
    <dataField name="Average of Total" fld="14" subtotal="average" baseField="1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7.xml><?xml version="1.0" encoding="utf-8"?>
<pivotTableDefinition xmlns="http://schemas.openxmlformats.org/spreadsheetml/2006/main" name="PivotTable5"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Customer">
  <location ref="BA3:BB4" firstHeaderRow="0" firstDataRow="1" firstDataCol="0"/>
  <pivotFields count="16">
    <pivotField numFmtId="14" showAll="0"/>
    <pivotField showAll="0"/>
    <pivotField showAll="0"/>
    <pivotField showAll="0"/>
    <pivotField showAll="0">
      <items count="3">
        <item x="1"/>
        <item x="0"/>
        <item t="default"/>
      </items>
    </pivotField>
    <pivotField showAll="0"/>
    <pivotField showAll="0">
      <items count="38">
        <item x="1"/>
        <item x="0"/>
        <item x="5"/>
        <item x="8"/>
        <item x="9"/>
        <item x="10"/>
        <item x="11"/>
        <item x="12"/>
        <item x="13"/>
        <item x="14"/>
        <item x="15"/>
        <item x="16"/>
        <item x="17"/>
        <item x="18"/>
        <item x="19"/>
        <item x="4"/>
        <item x="20"/>
        <item x="21"/>
        <item x="22"/>
        <item x="23"/>
        <item x="24"/>
        <item x="25"/>
        <item x="26"/>
        <item x="27"/>
        <item x="28"/>
        <item x="2"/>
        <item x="6"/>
        <item x="3"/>
        <item x="29"/>
        <item x="30"/>
        <item x="31"/>
        <item x="32"/>
        <item x="33"/>
        <item x="34"/>
        <item x="7"/>
        <item x="35"/>
        <item x="36"/>
        <item t="default"/>
      </items>
    </pivotField>
    <pivotField showAll="0"/>
    <pivotField showAll="0"/>
    <pivotField showAll="0"/>
    <pivotField showAll="0"/>
    <pivotField showAll="0"/>
    <pivotField showAll="0"/>
    <pivotField showAll="0"/>
    <pivotField dataField="1" showAll="0"/>
    <pivotField showAll="0">
      <items count="3">
        <item x="1"/>
        <item x="0"/>
        <item t="default"/>
      </items>
    </pivotField>
  </pivotFields>
  <rowItems count="1">
    <i/>
  </rowItems>
  <colFields count="1">
    <field x="-2"/>
  </colFields>
  <colItems count="2">
    <i>
      <x/>
    </i>
    <i i="1">
      <x v="1"/>
    </i>
  </colItems>
  <dataFields count="2">
    <dataField name="Min of Total" fld="14" subtotal="min" baseField="6" baseItem="0"/>
    <dataField name="Max of Total" fld="14" subtotal="max"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8.xml><?xml version="1.0" encoding="utf-8"?>
<pivotTableDefinition xmlns="http://schemas.openxmlformats.org/spreadsheetml/2006/main" name="PivotTable4"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Total Marks">
  <location ref="S94:S173" firstHeaderRow="1" firstDataRow="1" firstDataCol="1"/>
  <pivotFields count="16">
    <pivotField numFmtId="14" showAll="0"/>
    <pivotField showAll="0"/>
    <pivotField showAll="0"/>
    <pivotField showAll="0"/>
    <pivotField showAll="0">
      <items count="3">
        <item x="1"/>
        <item x="0"/>
        <item t="default"/>
      </items>
    </pivotField>
    <pivotField showAll="0"/>
    <pivotField showAll="0">
      <items count="38">
        <item x="1"/>
        <item x="0"/>
        <item x="5"/>
        <item x="8"/>
        <item x="9"/>
        <item x="10"/>
        <item x="11"/>
        <item x="12"/>
        <item x="13"/>
        <item x="14"/>
        <item x="15"/>
        <item x="16"/>
        <item x="17"/>
        <item x="18"/>
        <item x="19"/>
        <item x="4"/>
        <item x="20"/>
        <item x="21"/>
        <item x="22"/>
        <item x="23"/>
        <item x="24"/>
        <item x="25"/>
        <item x="26"/>
        <item x="27"/>
        <item x="28"/>
        <item x="2"/>
        <item x="6"/>
        <item x="3"/>
        <item x="29"/>
        <item x="30"/>
        <item x="31"/>
        <item x="32"/>
        <item x="33"/>
        <item x="34"/>
        <item x="7"/>
        <item x="35"/>
        <item x="36"/>
        <item t="default"/>
      </items>
    </pivotField>
    <pivotField showAll="0"/>
    <pivotField showAll="0"/>
    <pivotField showAll="0"/>
    <pivotField showAll="0"/>
    <pivotField showAll="0"/>
    <pivotField showAll="0"/>
    <pivotField showAll="0"/>
    <pivotField axis="axisRow" showAll="0">
      <items count="79">
        <item x="0"/>
        <item x="10"/>
        <item x="69"/>
        <item x="38"/>
        <item x="48"/>
        <item x="76"/>
        <item x="45"/>
        <item x="68"/>
        <item x="5"/>
        <item x="61"/>
        <item x="27"/>
        <item x="73"/>
        <item x="26"/>
        <item x="37"/>
        <item x="53"/>
        <item x="58"/>
        <item x="4"/>
        <item x="9"/>
        <item x="40"/>
        <item x="19"/>
        <item x="52"/>
        <item x="42"/>
        <item x="31"/>
        <item x="7"/>
        <item x="17"/>
        <item x="15"/>
        <item x="46"/>
        <item x="34"/>
        <item x="47"/>
        <item x="51"/>
        <item x="41"/>
        <item x="67"/>
        <item x="54"/>
        <item x="23"/>
        <item x="12"/>
        <item x="62"/>
        <item x="44"/>
        <item x="20"/>
        <item x="32"/>
        <item x="24"/>
        <item x="75"/>
        <item x="3"/>
        <item x="43"/>
        <item x="35"/>
        <item x="64"/>
        <item x="6"/>
        <item x="30"/>
        <item x="13"/>
        <item x="14"/>
        <item x="21"/>
        <item x="29"/>
        <item x="36"/>
        <item x="8"/>
        <item x="50"/>
        <item x="18"/>
        <item x="1"/>
        <item x="11"/>
        <item x="65"/>
        <item x="25"/>
        <item x="57"/>
        <item x="22"/>
        <item x="16"/>
        <item x="28"/>
        <item x="56"/>
        <item x="70"/>
        <item x="39"/>
        <item x="66"/>
        <item x="59"/>
        <item x="74"/>
        <item x="49"/>
        <item x="60"/>
        <item x="63"/>
        <item x="55"/>
        <item x="33"/>
        <item x="71"/>
        <item x="2"/>
        <item x="72"/>
        <item x="77"/>
        <item t="default"/>
      </items>
    </pivotField>
    <pivotField showAll="0">
      <items count="3">
        <item x="1"/>
        <item x="0"/>
        <item t="default"/>
      </items>
    </pivotField>
  </pivotFields>
  <rowFields count="1">
    <field x="14"/>
  </rowFields>
  <rowItems count="7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9.xml><?xml version="1.0" encoding="utf-8"?>
<pivotTableDefinition xmlns="http://schemas.openxmlformats.org/spreadsheetml/2006/main" name="PivotTable3"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Customers" colHeaderCaption="Gender">
  <location ref="S54:U89" firstHeaderRow="1" firstDataRow="2" firstDataCol="1"/>
  <pivotFields count="16">
    <pivotField numFmtId="14" showAll="0"/>
    <pivotField showAll="0"/>
    <pivotField showAll="0"/>
    <pivotField showAll="0"/>
    <pivotField showAll="0">
      <items count="3">
        <item x="1"/>
        <item x="0"/>
        <item t="default"/>
      </items>
    </pivotField>
    <pivotField showAll="0"/>
    <pivotField axis="axisRow" showAll="0">
      <items count="38">
        <item x="1"/>
        <item x="0"/>
        <item x="5"/>
        <item x="8"/>
        <item x="9"/>
        <item x="10"/>
        <item x="11"/>
        <item x="12"/>
        <item x="13"/>
        <item x="14"/>
        <item x="15"/>
        <item x="16"/>
        <item x="17"/>
        <item x="18"/>
        <item x="19"/>
        <item x="4"/>
        <item x="20"/>
        <item x="21"/>
        <item x="22"/>
        <item x="23"/>
        <item x="24"/>
        <item x="25"/>
        <item x="26"/>
        <item x="27"/>
        <item x="28"/>
        <item x="2"/>
        <item x="6"/>
        <item x="3"/>
        <item x="29"/>
        <item x="30"/>
        <item x="31"/>
        <item x="32"/>
        <item x="33"/>
        <item x="34"/>
        <item x="7"/>
        <item x="35"/>
        <item x="36"/>
        <item t="default"/>
      </items>
    </pivotField>
    <pivotField showAll="0"/>
    <pivotField showAll="0"/>
    <pivotField showAll="0"/>
    <pivotField showAll="0"/>
    <pivotField showAll="0"/>
    <pivotField showAll="0"/>
    <pivotField showAll="0"/>
    <pivotField showAll="0"/>
    <pivotField axis="axisCol" showAll="0">
      <items count="3">
        <item h="1" x="1"/>
        <item x="0"/>
        <item t="default"/>
      </items>
    </pivotField>
  </pivotFields>
  <rowFields count="1">
    <field x="6"/>
  </rowFields>
  <rowItems count="34">
    <i>
      <x/>
    </i>
    <i>
      <x v="1"/>
    </i>
    <i>
      <x v="2"/>
    </i>
    <i>
      <x v="3"/>
    </i>
    <i>
      <x v="4"/>
    </i>
    <i>
      <x v="5"/>
    </i>
    <i>
      <x v="6"/>
    </i>
    <i>
      <x v="7"/>
    </i>
    <i>
      <x v="8"/>
    </i>
    <i>
      <x v="9"/>
    </i>
    <i>
      <x v="10"/>
    </i>
    <i>
      <x v="11"/>
    </i>
    <i>
      <x v="12"/>
    </i>
    <i>
      <x v="13"/>
    </i>
    <i>
      <x v="14"/>
    </i>
    <i>
      <x v="16"/>
    </i>
    <i>
      <x v="17"/>
    </i>
    <i>
      <x v="19"/>
    </i>
    <i>
      <x v="21"/>
    </i>
    <i>
      <x v="22"/>
    </i>
    <i>
      <x v="23"/>
    </i>
    <i>
      <x v="24"/>
    </i>
    <i>
      <x v="25"/>
    </i>
    <i>
      <x v="26"/>
    </i>
    <i>
      <x v="28"/>
    </i>
    <i>
      <x v="29"/>
    </i>
    <i>
      <x v="30"/>
    </i>
    <i>
      <x v="31"/>
    </i>
    <i>
      <x v="32"/>
    </i>
    <i>
      <x v="33"/>
    </i>
    <i>
      <x v="34"/>
    </i>
    <i>
      <x v="35"/>
    </i>
    <i>
      <x v="36"/>
    </i>
    <i t="grand">
      <x/>
    </i>
  </rowItems>
  <colFields count="1">
    <field x="15"/>
  </colFields>
  <colItems count="2">
    <i>
      <x v="1"/>
    </i>
    <i t="grand">
      <x/>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0.xml><?xml version="1.0" encoding="utf-8"?>
<pivotTableDefinition xmlns="http://schemas.openxmlformats.org/spreadsheetml/2006/main" name="PivotTable2"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S35:U48" firstHeaderRow="0" firstDataRow="1" firstDataCol="1"/>
  <pivotFields count="16">
    <pivotField numFmtId="14" showAll="0"/>
    <pivotField showAll="0"/>
    <pivotField axis="axisRow" showAll="0">
      <items count="5">
        <item x="0"/>
        <item x="2"/>
        <item x="3"/>
        <item x="1"/>
        <item t="default"/>
      </items>
    </pivotField>
    <pivotField dataField="1"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s>
  <rowFields count="2">
    <field x="2"/>
    <field x="15"/>
  </rowFields>
  <rowItems count="13">
    <i>
      <x/>
    </i>
    <i r="1">
      <x/>
    </i>
    <i r="1">
      <x v="1"/>
    </i>
    <i>
      <x v="1"/>
    </i>
    <i r="1">
      <x/>
    </i>
    <i r="1">
      <x v="1"/>
    </i>
    <i>
      <x v="2"/>
    </i>
    <i r="1">
      <x/>
    </i>
    <i r="1">
      <x v="1"/>
    </i>
    <i>
      <x v="3"/>
    </i>
    <i r="1">
      <x/>
    </i>
    <i r="1">
      <x v="1"/>
    </i>
    <i t="grand">
      <x/>
    </i>
  </rowItems>
  <colFields count="1">
    <field x="-2"/>
  </colFields>
  <colItems count="2">
    <i>
      <x/>
    </i>
    <i i="1">
      <x v="1"/>
    </i>
  </colItems>
  <dataFields count="2">
    <dataField name="Min of Sales" fld="3" subtotal="min" baseField="2" baseItem="0"/>
    <dataField name="Max of Sales" fld="3" subtotal="max"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1.xml><?xml version="1.0" encoding="utf-8"?>
<pivotTableDefinition xmlns="http://schemas.openxmlformats.org/spreadsheetml/2006/main" name="PivotTable16"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Status" colHeaderCaption="Director">
  <location ref="AM16:AM159" firstHeaderRow="1" firstDataRow="1" firstDataCol="1"/>
  <pivotFields count="13">
    <pivotField axis="axisRow" showAll="0">
      <items count="72">
        <item x="0"/>
        <item x="9"/>
        <item x="10"/>
        <item x="11"/>
        <item x="12"/>
        <item x="13"/>
        <item x="14"/>
        <item x="15"/>
        <item x="16"/>
        <item x="17"/>
        <item x="18"/>
        <item x="19"/>
        <item x="20"/>
        <item x="21"/>
        <item x="22"/>
        <item x="23"/>
        <item x="24"/>
        <item x="25"/>
        <item x="26"/>
        <item x="27"/>
        <item x="28"/>
        <item x="2"/>
        <item x="2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
        <item x="8"/>
        <item x="1"/>
        <item t="default"/>
      </items>
    </pivotField>
    <pivotField showAll="0"/>
    <pivotField showAll="0"/>
    <pivotField axis="axisRow" showAll="0">
      <items count="52">
        <item x="41"/>
        <item x="33"/>
        <item x="48"/>
        <item x="32"/>
        <item x="42"/>
        <item x="45"/>
        <item x="2"/>
        <item x="7"/>
        <item x="35"/>
        <item x="18"/>
        <item x="37"/>
        <item x="47"/>
        <item x="9"/>
        <item x="3"/>
        <item x="44"/>
        <item x="17"/>
        <item x="6"/>
        <item x="1"/>
        <item x="23"/>
        <item x="8"/>
        <item x="27"/>
        <item x="49"/>
        <item x="36"/>
        <item x="31"/>
        <item x="5"/>
        <item x="4"/>
        <item x="15"/>
        <item x="13"/>
        <item x="34"/>
        <item x="22"/>
        <item x="24"/>
        <item x="40"/>
        <item x="26"/>
        <item x="38"/>
        <item x="12"/>
        <item x="43"/>
        <item x="10"/>
        <item x="11"/>
        <item x="14"/>
        <item x="30"/>
        <item x="28"/>
        <item x="19"/>
        <item x="46"/>
        <item x="25"/>
        <item x="0"/>
        <item x="20"/>
        <item x="21"/>
        <item x="29"/>
        <item x="50"/>
        <item x="16"/>
        <item x="39"/>
        <item t="default"/>
      </items>
    </pivotField>
    <pivotField showAll="0"/>
    <pivotField showAll="0">
      <items count="10">
        <item x="1"/>
        <item x="0"/>
        <item x="4"/>
        <item x="2"/>
        <item x="5"/>
        <item x="6"/>
        <item x="8"/>
        <item x="7"/>
        <item x="3"/>
        <item t="default"/>
      </items>
    </pivotField>
    <pivotField showAll="0"/>
    <pivotField showAll="0">
      <items count="4">
        <item x="1"/>
        <item x="0"/>
        <item x="2"/>
        <item t="default"/>
      </items>
    </pivotField>
    <pivotField showAll="0"/>
    <pivotField showAll="0">
      <items count="11">
        <item h="1" x="6"/>
        <item h="1" x="3"/>
        <item h="1" x="5"/>
        <item h="1" x="8"/>
        <item h="1" x="1"/>
        <item h="1" x="4"/>
        <item h="1" x="9"/>
        <item h="1" x="7"/>
        <item h="1" x="0"/>
        <item x="2"/>
        <item t="default"/>
      </items>
    </pivotField>
    <pivotField showAll="0">
      <items count="10">
        <item x="0"/>
        <item x="2"/>
        <item x="8"/>
        <item x="3"/>
        <item x="7"/>
        <item x="5"/>
        <item x="4"/>
        <item x="1"/>
        <item x="6"/>
        <item t="default"/>
      </items>
    </pivotField>
    <pivotField showAll="0"/>
    <pivotField showAll="0"/>
  </pivotFields>
  <rowFields count="2">
    <field x="0"/>
    <field x="3"/>
  </rowFields>
  <rowItems count="143">
    <i>
      <x/>
    </i>
    <i r="1">
      <x v="44"/>
    </i>
    <i>
      <x v="1"/>
    </i>
    <i r="1">
      <x v="12"/>
    </i>
    <i>
      <x v="2"/>
    </i>
    <i r="1">
      <x v="36"/>
    </i>
    <i>
      <x v="3"/>
    </i>
    <i r="1">
      <x v="37"/>
    </i>
    <i>
      <x v="4"/>
    </i>
    <i r="1">
      <x v="34"/>
    </i>
    <i>
      <x v="5"/>
    </i>
    <i r="1">
      <x v="27"/>
    </i>
    <i>
      <x v="6"/>
    </i>
    <i r="1">
      <x v="38"/>
    </i>
    <i>
      <x v="7"/>
    </i>
    <i r="1">
      <x v="26"/>
    </i>
    <i>
      <x v="8"/>
    </i>
    <i r="1">
      <x v="49"/>
    </i>
    <i>
      <x v="9"/>
    </i>
    <i r="1">
      <x v="15"/>
    </i>
    <i>
      <x v="10"/>
    </i>
    <i r="1">
      <x v="9"/>
    </i>
    <i>
      <x v="11"/>
    </i>
    <i r="1">
      <x v="41"/>
    </i>
    <i>
      <x v="12"/>
    </i>
    <i r="1">
      <x v="45"/>
    </i>
    <i>
      <x v="13"/>
    </i>
    <i r="1">
      <x v="46"/>
    </i>
    <i>
      <x v="14"/>
    </i>
    <i r="1">
      <x v="29"/>
    </i>
    <i>
      <x v="15"/>
    </i>
    <i r="1">
      <x v="18"/>
    </i>
    <i>
      <x v="16"/>
    </i>
    <i r="1">
      <x v="30"/>
    </i>
    <i>
      <x v="17"/>
    </i>
    <i r="1">
      <x v="43"/>
    </i>
    <i>
      <x v="18"/>
    </i>
    <i r="1">
      <x v="27"/>
    </i>
    <i>
      <x v="19"/>
    </i>
    <i r="1">
      <x v="45"/>
    </i>
    <i>
      <x v="20"/>
    </i>
    <i r="1">
      <x v="32"/>
    </i>
    <i>
      <x v="21"/>
    </i>
    <i r="1">
      <x v="6"/>
    </i>
    <i>
      <x v="22"/>
    </i>
    <i r="1">
      <x v="20"/>
    </i>
    <i>
      <x v="23"/>
    </i>
    <i r="1">
      <x v="40"/>
    </i>
    <i>
      <x v="24"/>
    </i>
    <i r="1">
      <x v="46"/>
    </i>
    <i>
      <x v="25"/>
    </i>
    <i r="1">
      <x v="47"/>
    </i>
    <i>
      <x v="26"/>
    </i>
    <i r="1">
      <x v="46"/>
    </i>
    <i>
      <x v="27"/>
    </i>
    <i r="1">
      <x v="24"/>
    </i>
    <i>
      <x v="28"/>
    </i>
    <i r="1">
      <x v="39"/>
    </i>
    <i>
      <x v="29"/>
    </i>
    <i r="1">
      <x v="23"/>
    </i>
    <i>
      <x v="30"/>
    </i>
    <i r="1">
      <x v="13"/>
    </i>
    <i>
      <x v="31"/>
    </i>
    <i r="1">
      <x v="3"/>
    </i>
    <i>
      <x v="32"/>
    </i>
    <i r="1">
      <x v="13"/>
    </i>
    <i>
      <x v="33"/>
    </i>
    <i r="1">
      <x v="1"/>
    </i>
    <i>
      <x v="34"/>
    </i>
    <i r="1">
      <x v="9"/>
    </i>
    <i>
      <x v="35"/>
    </i>
    <i r="1">
      <x v="28"/>
    </i>
    <i>
      <x v="36"/>
    </i>
    <i r="1">
      <x v="8"/>
    </i>
    <i>
      <x v="37"/>
    </i>
    <i r="1">
      <x v="44"/>
    </i>
    <i>
      <x v="38"/>
    </i>
    <i r="1">
      <x v="22"/>
    </i>
    <i>
      <x v="39"/>
    </i>
    <i r="1">
      <x v="28"/>
    </i>
    <i>
      <x v="40"/>
    </i>
    <i r="1">
      <x v="10"/>
    </i>
    <i>
      <x v="41"/>
    </i>
    <i r="1">
      <x v="33"/>
    </i>
    <i>
      <x v="42"/>
    </i>
    <i r="1">
      <x v="17"/>
    </i>
    <i>
      <x v="43"/>
    </i>
    <i r="1">
      <x v="25"/>
    </i>
    <i>
      <x v="44"/>
    </i>
    <i r="1">
      <x v="50"/>
    </i>
    <i>
      <x v="45"/>
    </i>
    <i r="1">
      <x v="41"/>
    </i>
    <i>
      <x v="46"/>
    </i>
    <i r="1">
      <x v="31"/>
    </i>
    <i>
      <x v="47"/>
    </i>
    <i r="1">
      <x v="47"/>
    </i>
    <i>
      <x v="48"/>
    </i>
    <i r="1">
      <x/>
    </i>
    <i>
      <x v="49"/>
    </i>
    <i r="1">
      <x v="4"/>
    </i>
    <i>
      <x v="50"/>
    </i>
    <i r="1">
      <x v="35"/>
    </i>
    <i>
      <x v="51"/>
    </i>
    <i r="1">
      <x v="38"/>
    </i>
    <i>
      <x v="52"/>
    </i>
    <i r="1">
      <x v="14"/>
    </i>
    <i>
      <x v="53"/>
    </i>
    <i r="1">
      <x v="32"/>
    </i>
    <i>
      <x v="54"/>
    </i>
    <i r="1">
      <x v="24"/>
    </i>
    <i>
      <x v="55"/>
    </i>
    <i r="1">
      <x v="5"/>
    </i>
    <i>
      <x v="56"/>
    </i>
    <i r="1">
      <x v="39"/>
    </i>
    <i>
      <x v="57"/>
    </i>
    <i r="1">
      <x v="42"/>
    </i>
    <i>
      <x v="58"/>
    </i>
    <i r="1">
      <x v="18"/>
    </i>
    <i>
      <x v="59"/>
    </i>
    <i r="1">
      <x v="11"/>
    </i>
    <i>
      <x v="60"/>
    </i>
    <i r="1">
      <x v="2"/>
    </i>
    <i>
      <x v="61"/>
    </i>
    <i r="1">
      <x v="21"/>
    </i>
    <i>
      <x v="62"/>
    </i>
    <i r="1">
      <x v="48"/>
    </i>
    <i>
      <x v="63"/>
    </i>
    <i r="1">
      <x v="21"/>
    </i>
    <i>
      <x v="64"/>
    </i>
    <i r="1">
      <x v="35"/>
    </i>
    <i>
      <x v="65"/>
    </i>
    <i r="1">
      <x v="16"/>
    </i>
    <i>
      <x v="66"/>
    </i>
    <i r="1">
      <x v="39"/>
    </i>
    <i>
      <x v="67"/>
    </i>
    <i r="1">
      <x v="40"/>
    </i>
    <i>
      <x v="68"/>
    </i>
    <i r="1">
      <x v="7"/>
    </i>
    <i>
      <x v="69"/>
    </i>
    <i r="1">
      <x v="19"/>
    </i>
    <i>
      <x v="70"/>
    </i>
    <i r="1">
      <x v="17"/>
    </i>
    <i t="grand">
      <x/>
    </i>
  </rowItems>
  <colItems count="1">
    <i/>
  </colItems>
  <pivotTableStyleInfo name="PivotStyleLight16" showRowHeaders="1" showColHeaders="1" showRowStripes="0" showColStripes="0" showLastColumn="1"/>
  <filters count="1">
    <filter fld="7" type="captionContains" evalOrder="-1" id="1" stringValue1="Flop">
      <autoFilter ref="A1">
        <filterColumn colId="0">
          <customFilters>
            <customFilter val="*Flop*"/>
          </customFilters>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2.xml><?xml version="1.0" encoding="utf-8"?>
<pivotTableDefinition xmlns="http://schemas.openxmlformats.org/spreadsheetml/2006/main" name="PivotTable13"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Amount of each Ind. movie" colHeaderCaption="Director">
  <location ref="AK16:AK301" firstHeaderRow="1" firstDataRow="1" firstDataCol="1"/>
  <pivotFields count="13">
    <pivotField axis="axisRow" showAll="0">
      <items count="72">
        <item x="0"/>
        <item x="9"/>
        <item x="10"/>
        <item x="11"/>
        <item x="12"/>
        <item x="13"/>
        <item x="14"/>
        <item x="15"/>
        <item x="16"/>
        <item x="17"/>
        <item x="18"/>
        <item x="19"/>
        <item x="20"/>
        <item x="21"/>
        <item x="22"/>
        <item x="23"/>
        <item x="24"/>
        <item x="25"/>
        <item x="26"/>
        <item x="27"/>
        <item x="28"/>
        <item x="2"/>
        <item x="2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
        <item x="8"/>
        <item x="1"/>
        <item t="default"/>
      </items>
    </pivotField>
    <pivotField axis="axisRow" showAll="0">
      <items count="12">
        <item x="8"/>
        <item x="2"/>
        <item x="0"/>
        <item x="7"/>
        <item x="4"/>
        <item x="6"/>
        <item x="1"/>
        <item x="9"/>
        <item x="5"/>
        <item x="10"/>
        <item x="3"/>
        <item t="default"/>
      </items>
    </pivotField>
    <pivotField showAll="0"/>
    <pivotField axis="axisRow" showAll="0">
      <items count="52">
        <item x="41"/>
        <item x="33"/>
        <item x="48"/>
        <item x="32"/>
        <item x="42"/>
        <item x="45"/>
        <item x="2"/>
        <item x="7"/>
        <item x="35"/>
        <item x="18"/>
        <item x="37"/>
        <item x="47"/>
        <item x="9"/>
        <item x="3"/>
        <item x="44"/>
        <item x="17"/>
        <item x="6"/>
        <item x="1"/>
        <item x="23"/>
        <item x="8"/>
        <item x="27"/>
        <item x="49"/>
        <item x="36"/>
        <item x="31"/>
        <item x="5"/>
        <item x="4"/>
        <item x="15"/>
        <item x="13"/>
        <item x="34"/>
        <item x="22"/>
        <item x="24"/>
        <item x="40"/>
        <item x="26"/>
        <item x="38"/>
        <item x="12"/>
        <item x="43"/>
        <item x="10"/>
        <item x="11"/>
        <item x="14"/>
        <item x="30"/>
        <item x="28"/>
        <item x="19"/>
        <item x="46"/>
        <item x="25"/>
        <item x="0"/>
        <item x="20"/>
        <item x="21"/>
        <item x="29"/>
        <item x="50"/>
        <item x="16"/>
        <item x="39"/>
        <item t="default"/>
      </items>
    </pivotField>
    <pivotField showAll="0"/>
    <pivotField showAll="0">
      <items count="10">
        <item x="1"/>
        <item x="0"/>
        <item x="4"/>
        <item x="2"/>
        <item x="5"/>
        <item x="6"/>
        <item x="8"/>
        <item x="7"/>
        <item x="3"/>
        <item t="default"/>
      </items>
    </pivotField>
    <pivotField showAll="0"/>
    <pivotField showAll="0">
      <items count="4">
        <item x="1"/>
        <item x="0"/>
        <item x="2"/>
        <item t="default"/>
      </items>
    </pivotField>
    <pivotField showAll="0"/>
    <pivotField axis="axisRow" showAll="0">
      <items count="11">
        <item x="6"/>
        <item x="3"/>
        <item x="5"/>
        <item x="8"/>
        <item x="1"/>
        <item x="4"/>
        <item x="9"/>
        <item x="7"/>
        <item x="0"/>
        <item x="2"/>
        <item t="default"/>
      </items>
    </pivotField>
    <pivotField showAll="0">
      <items count="10">
        <item x="0"/>
        <item x="2"/>
        <item x="8"/>
        <item x="3"/>
        <item x="7"/>
        <item x="5"/>
        <item x="4"/>
        <item x="1"/>
        <item x="6"/>
        <item t="default"/>
      </items>
    </pivotField>
    <pivotField showAll="0"/>
    <pivotField showAll="0"/>
  </pivotFields>
  <rowFields count="4">
    <field x="0"/>
    <field x="9"/>
    <field x="1"/>
    <field x="3"/>
  </rowFields>
  <rowItems count="285">
    <i>
      <x/>
    </i>
    <i r="1">
      <x v="8"/>
    </i>
    <i r="2">
      <x v="2"/>
    </i>
    <i r="3">
      <x v="44"/>
    </i>
    <i>
      <x v="1"/>
    </i>
    <i r="1">
      <x v="5"/>
    </i>
    <i r="2">
      <x v="5"/>
    </i>
    <i r="3">
      <x v="12"/>
    </i>
    <i>
      <x v="2"/>
    </i>
    <i r="1">
      <x v="2"/>
    </i>
    <i r="2">
      <x v="2"/>
    </i>
    <i r="3">
      <x v="36"/>
    </i>
    <i>
      <x v="3"/>
    </i>
    <i r="1">
      <x v="4"/>
    </i>
    <i r="2">
      <x v="6"/>
    </i>
    <i r="3">
      <x v="37"/>
    </i>
    <i>
      <x v="4"/>
    </i>
    <i r="1">
      <x v="9"/>
    </i>
    <i r="2">
      <x v="1"/>
    </i>
    <i r="3">
      <x v="34"/>
    </i>
    <i>
      <x v="5"/>
    </i>
    <i r="1">
      <x v="1"/>
    </i>
    <i r="2">
      <x v="3"/>
    </i>
    <i r="3">
      <x v="27"/>
    </i>
    <i>
      <x v="6"/>
    </i>
    <i r="1">
      <x v="5"/>
    </i>
    <i r="2">
      <x v="3"/>
    </i>
    <i r="3">
      <x v="38"/>
    </i>
    <i>
      <x v="7"/>
    </i>
    <i r="1">
      <x/>
    </i>
    <i r="2">
      <x v="3"/>
    </i>
    <i r="3">
      <x v="26"/>
    </i>
    <i>
      <x v="8"/>
    </i>
    <i r="1">
      <x/>
    </i>
    <i r="2">
      <x v="3"/>
    </i>
    <i r="3">
      <x v="49"/>
    </i>
    <i>
      <x v="9"/>
    </i>
    <i r="1">
      <x v="7"/>
    </i>
    <i r="2">
      <x v="3"/>
    </i>
    <i r="3">
      <x v="15"/>
    </i>
    <i>
      <x v="10"/>
    </i>
    <i r="1">
      <x v="7"/>
    </i>
    <i r="2">
      <x v="3"/>
    </i>
    <i r="3">
      <x v="9"/>
    </i>
    <i>
      <x v="11"/>
    </i>
    <i r="1">
      <x v="7"/>
    </i>
    <i r="2">
      <x v="3"/>
    </i>
    <i r="3">
      <x v="41"/>
    </i>
    <i>
      <x v="12"/>
    </i>
    <i r="1">
      <x v="7"/>
    </i>
    <i r="2">
      <x v="3"/>
    </i>
    <i r="3">
      <x v="45"/>
    </i>
    <i>
      <x v="13"/>
    </i>
    <i r="1">
      <x v="7"/>
    </i>
    <i r="2">
      <x v="3"/>
    </i>
    <i r="3">
      <x v="46"/>
    </i>
    <i>
      <x v="14"/>
    </i>
    <i r="1">
      <x v="7"/>
    </i>
    <i r="2">
      <x v="1"/>
    </i>
    <i r="3">
      <x v="29"/>
    </i>
    <i>
      <x v="15"/>
    </i>
    <i r="1">
      <x v="3"/>
    </i>
    <i r="2">
      <x v="2"/>
    </i>
    <i r="3">
      <x v="18"/>
    </i>
    <i>
      <x v="16"/>
    </i>
    <i r="1">
      <x v="6"/>
    </i>
    <i r="2">
      <x v="10"/>
    </i>
    <i r="3">
      <x v="30"/>
    </i>
    <i>
      <x v="17"/>
    </i>
    <i r="1">
      <x v="8"/>
    </i>
    <i r="2">
      <x v="2"/>
    </i>
    <i r="3">
      <x v="43"/>
    </i>
    <i>
      <x v="18"/>
    </i>
    <i r="1">
      <x v="4"/>
    </i>
    <i r="2">
      <x v="1"/>
    </i>
    <i r="3">
      <x v="27"/>
    </i>
    <i>
      <x v="19"/>
    </i>
    <i r="1">
      <x v="9"/>
    </i>
    <i r="2">
      <x v="4"/>
    </i>
    <i r="3">
      <x v="45"/>
    </i>
    <i>
      <x v="20"/>
    </i>
    <i r="1">
      <x v="1"/>
    </i>
    <i r="2">
      <x v="8"/>
    </i>
    <i r="3">
      <x v="32"/>
    </i>
    <i>
      <x v="21"/>
    </i>
    <i r="1">
      <x v="9"/>
    </i>
    <i r="2">
      <x v="1"/>
    </i>
    <i r="3">
      <x v="6"/>
    </i>
    <i>
      <x v="22"/>
    </i>
    <i r="1">
      <x v="5"/>
    </i>
    <i r="2">
      <x v="5"/>
    </i>
    <i r="3">
      <x v="20"/>
    </i>
    <i>
      <x v="23"/>
    </i>
    <i r="1">
      <x v="2"/>
    </i>
    <i r="2">
      <x/>
    </i>
    <i r="3">
      <x v="40"/>
    </i>
    <i>
      <x v="24"/>
    </i>
    <i r="1">
      <x v="4"/>
    </i>
    <i r="2">
      <x/>
    </i>
    <i r="3">
      <x v="46"/>
    </i>
    <i>
      <x v="25"/>
    </i>
    <i r="1">
      <x v="9"/>
    </i>
    <i r="2">
      <x/>
    </i>
    <i r="3">
      <x v="47"/>
    </i>
    <i>
      <x v="26"/>
    </i>
    <i r="1">
      <x v="1"/>
    </i>
    <i r="2">
      <x/>
    </i>
    <i r="3">
      <x v="46"/>
    </i>
    <i>
      <x v="27"/>
    </i>
    <i r="1">
      <x v="5"/>
    </i>
    <i r="2">
      <x/>
    </i>
    <i r="3">
      <x v="24"/>
    </i>
    <i>
      <x v="28"/>
    </i>
    <i r="1">
      <x v="2"/>
    </i>
    <i r="2">
      <x/>
    </i>
    <i r="3">
      <x v="39"/>
    </i>
    <i>
      <x v="29"/>
    </i>
    <i r="1">
      <x v="4"/>
    </i>
    <i r="2">
      <x/>
    </i>
    <i r="3">
      <x v="23"/>
    </i>
    <i>
      <x v="30"/>
    </i>
    <i r="1">
      <x v="9"/>
    </i>
    <i r="2">
      <x v="4"/>
    </i>
    <i r="3">
      <x v="13"/>
    </i>
    <i>
      <x v="31"/>
    </i>
    <i r="1">
      <x v="1"/>
    </i>
    <i r="2">
      <x v="8"/>
    </i>
    <i r="3">
      <x v="3"/>
    </i>
    <i>
      <x v="32"/>
    </i>
    <i r="1">
      <x v="1"/>
    </i>
    <i r="2">
      <x v="2"/>
    </i>
    <i r="3">
      <x v="13"/>
    </i>
    <i>
      <x v="33"/>
    </i>
    <i r="1">
      <x v="5"/>
    </i>
    <i r="2">
      <x v="5"/>
    </i>
    <i r="3">
      <x v="1"/>
    </i>
    <i>
      <x v="34"/>
    </i>
    <i r="1">
      <x/>
    </i>
    <i r="2">
      <x v="2"/>
    </i>
    <i r="3">
      <x v="9"/>
    </i>
    <i>
      <x v="35"/>
    </i>
    <i r="1">
      <x/>
    </i>
    <i r="2">
      <x v="6"/>
    </i>
    <i r="3">
      <x v="28"/>
    </i>
    <i>
      <x v="36"/>
    </i>
    <i r="1">
      <x v="8"/>
    </i>
    <i r="2">
      <x v="1"/>
    </i>
    <i r="3">
      <x v="8"/>
    </i>
    <i>
      <x v="37"/>
    </i>
    <i r="1">
      <x v="4"/>
    </i>
    <i r="2">
      <x v="2"/>
    </i>
    <i r="3">
      <x v="44"/>
    </i>
    <i>
      <x v="38"/>
    </i>
    <i r="1">
      <x v="9"/>
    </i>
    <i r="2">
      <x v="10"/>
    </i>
    <i r="3">
      <x v="22"/>
    </i>
    <i>
      <x v="39"/>
    </i>
    <i r="1">
      <x v="1"/>
    </i>
    <i r="2">
      <x v="2"/>
    </i>
    <i r="3">
      <x v="28"/>
    </i>
    <i>
      <x v="40"/>
    </i>
    <i r="1">
      <x v="5"/>
    </i>
    <i r="2">
      <x v="1"/>
    </i>
    <i r="3">
      <x v="10"/>
    </i>
    <i>
      <x v="41"/>
    </i>
    <i r="1">
      <x v="2"/>
    </i>
    <i r="2">
      <x v="4"/>
    </i>
    <i r="3">
      <x v="33"/>
    </i>
    <i>
      <x v="42"/>
    </i>
    <i r="1">
      <x v="4"/>
    </i>
    <i r="2">
      <x v="7"/>
    </i>
    <i r="3">
      <x v="17"/>
    </i>
    <i>
      <x v="43"/>
    </i>
    <i r="1">
      <x v="5"/>
    </i>
    <i r="2">
      <x v="10"/>
    </i>
    <i r="3">
      <x v="25"/>
    </i>
    <i>
      <x v="44"/>
    </i>
    <i r="1">
      <x v="9"/>
    </i>
    <i r="2">
      <x v="7"/>
    </i>
    <i r="3">
      <x v="50"/>
    </i>
    <i>
      <x v="45"/>
    </i>
    <i r="1">
      <x v="1"/>
    </i>
    <i r="2">
      <x v="7"/>
    </i>
    <i r="3">
      <x v="41"/>
    </i>
    <i>
      <x v="46"/>
    </i>
    <i r="1">
      <x v="5"/>
    </i>
    <i r="2">
      <x v="7"/>
    </i>
    <i r="3">
      <x v="31"/>
    </i>
    <i>
      <x v="47"/>
    </i>
    <i r="1">
      <x v="2"/>
    </i>
    <i r="2">
      <x v="7"/>
    </i>
    <i r="3">
      <x v="47"/>
    </i>
    <i>
      <x v="48"/>
    </i>
    <i r="1">
      <x v="4"/>
    </i>
    <i r="2">
      <x v="7"/>
    </i>
    <i r="3">
      <x/>
    </i>
    <i>
      <x v="49"/>
    </i>
    <i r="1">
      <x v="9"/>
    </i>
    <i r="2">
      <x v="7"/>
    </i>
    <i r="3">
      <x v="4"/>
    </i>
    <i>
      <x v="50"/>
    </i>
    <i r="1">
      <x v="1"/>
    </i>
    <i r="2">
      <x v="7"/>
    </i>
    <i r="3">
      <x v="35"/>
    </i>
    <i>
      <x v="51"/>
    </i>
    <i r="1">
      <x v="5"/>
    </i>
    <i r="2">
      <x v="7"/>
    </i>
    <i r="3">
      <x v="38"/>
    </i>
    <i>
      <x v="52"/>
    </i>
    <i r="1">
      <x/>
    </i>
    <i r="2">
      <x v="7"/>
    </i>
    <i r="3">
      <x v="14"/>
    </i>
    <i>
      <x v="53"/>
    </i>
    <i r="1">
      <x/>
    </i>
    <i r="2">
      <x v="7"/>
    </i>
    <i r="3">
      <x v="32"/>
    </i>
    <i>
      <x v="54"/>
    </i>
    <i r="1">
      <x v="2"/>
    </i>
    <i r="2">
      <x v="2"/>
    </i>
    <i r="3">
      <x v="24"/>
    </i>
    <i>
      <x v="55"/>
    </i>
    <i r="1">
      <x v="8"/>
    </i>
    <i r="2">
      <x v="5"/>
    </i>
    <i r="3">
      <x v="5"/>
    </i>
    <i>
      <x v="56"/>
    </i>
    <i r="1">
      <x v="4"/>
    </i>
    <i r="2">
      <x v="2"/>
    </i>
    <i r="3">
      <x v="39"/>
    </i>
    <i>
      <x v="57"/>
    </i>
    <i r="1">
      <x v="9"/>
    </i>
    <i r="2">
      <x v="6"/>
    </i>
    <i r="3">
      <x v="42"/>
    </i>
    <i>
      <x v="58"/>
    </i>
    <i r="1">
      <x v="1"/>
    </i>
    <i r="2">
      <x v="1"/>
    </i>
    <i r="3">
      <x v="18"/>
    </i>
    <i>
      <x v="59"/>
    </i>
    <i r="1">
      <x v="5"/>
    </i>
    <i r="2">
      <x v="2"/>
    </i>
    <i r="3">
      <x v="11"/>
    </i>
    <i>
      <x v="60"/>
    </i>
    <i r="1">
      <x v="2"/>
    </i>
    <i r="2">
      <x v="10"/>
    </i>
    <i r="3">
      <x v="2"/>
    </i>
    <i>
      <x v="61"/>
    </i>
    <i r="1">
      <x v="4"/>
    </i>
    <i r="2">
      <x v="9"/>
    </i>
    <i r="3">
      <x v="21"/>
    </i>
    <i>
      <x v="62"/>
    </i>
    <i r="1">
      <x v="9"/>
    </i>
    <i r="2">
      <x v="9"/>
    </i>
    <i r="3">
      <x v="48"/>
    </i>
    <i>
      <x v="63"/>
    </i>
    <i r="1">
      <x v="1"/>
    </i>
    <i r="2">
      <x v="9"/>
    </i>
    <i r="3">
      <x v="21"/>
    </i>
    <i>
      <x v="64"/>
    </i>
    <i r="1">
      <x v="5"/>
    </i>
    <i r="2">
      <x v="9"/>
    </i>
    <i r="3">
      <x v="35"/>
    </i>
    <i>
      <x v="65"/>
    </i>
    <i r="1">
      <x v="4"/>
    </i>
    <i r="2">
      <x v="1"/>
    </i>
    <i r="3">
      <x v="16"/>
    </i>
    <i>
      <x v="66"/>
    </i>
    <i r="1">
      <x v="2"/>
    </i>
    <i r="2">
      <x v="5"/>
    </i>
    <i r="3">
      <x v="39"/>
    </i>
    <i>
      <x v="67"/>
    </i>
    <i r="1">
      <x v="4"/>
    </i>
    <i r="2">
      <x v="2"/>
    </i>
    <i r="3">
      <x v="40"/>
    </i>
    <i>
      <x v="68"/>
    </i>
    <i r="1">
      <x v="9"/>
    </i>
    <i r="2">
      <x v="4"/>
    </i>
    <i r="3">
      <x v="7"/>
    </i>
    <i>
      <x v="69"/>
    </i>
    <i r="1">
      <x v="1"/>
    </i>
    <i r="2">
      <x v="8"/>
    </i>
    <i r="3">
      <x v="19"/>
    </i>
    <i>
      <x v="70"/>
    </i>
    <i r="1">
      <x v="4"/>
    </i>
    <i r="2">
      <x v="6"/>
    </i>
    <i r="3">
      <x v="17"/>
    </i>
    <i t="grand">
      <x/>
    </i>
  </rowItems>
  <colItems count="1">
    <i/>
  </colItems>
  <pivotTableStyleInfo name="PivotStyleLight16" showRowHeaders="1" showColHeaders="1" showRowStripes="0" showColStripes="0" showLastColumn="1"/>
  <filters count="1">
    <filter fld="7" type="captionContains" evalOrder="-1" id="1" stringValue1="Flop">
      <autoFilter ref="A1">
        <filterColumn colId="0">
          <customFilters>
            <customFilter val="*Flop*"/>
          </customFilters>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3.xml><?xml version="1.0" encoding="utf-8"?>
<pivotTableDefinition xmlns="http://schemas.openxmlformats.org/spreadsheetml/2006/main" name="PivotTable12"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Status" colHeaderCaption="Director">
  <location ref="Y16:AI27" firstHeaderRow="1" firstDataRow="2" firstDataCol="1"/>
  <pivotFields count="13">
    <pivotField dataField="1" showAll="0">
      <items count="72">
        <item x="0"/>
        <item x="9"/>
        <item x="10"/>
        <item x="11"/>
        <item x="12"/>
        <item x="13"/>
        <item x="14"/>
        <item x="15"/>
        <item x="16"/>
        <item x="17"/>
        <item x="18"/>
        <item x="19"/>
        <item x="20"/>
        <item x="21"/>
        <item x="22"/>
        <item x="23"/>
        <item x="24"/>
        <item x="25"/>
        <item x="26"/>
        <item x="27"/>
        <item x="28"/>
        <item x="2"/>
        <item x="2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
        <item x="8"/>
        <item x="1"/>
        <item t="default"/>
      </items>
    </pivotField>
    <pivotField showAll="0"/>
    <pivotField showAll="0"/>
    <pivotField showAll="0"/>
    <pivotField showAll="0"/>
    <pivotField axis="axisRow" showAll="0">
      <items count="10">
        <item x="1"/>
        <item x="0"/>
        <item x="4"/>
        <item x="2"/>
        <item x="5"/>
        <item x="6"/>
        <item x="8"/>
        <item x="7"/>
        <item x="3"/>
        <item t="default"/>
      </items>
    </pivotField>
    <pivotField showAll="0"/>
    <pivotField showAll="0">
      <items count="4">
        <item x="1"/>
        <item x="0"/>
        <item x="2"/>
        <item t="default"/>
      </items>
    </pivotField>
    <pivotField showAll="0"/>
    <pivotField showAll="0">
      <items count="11">
        <item h="1" x="6"/>
        <item h="1" x="3"/>
        <item h="1" x="5"/>
        <item h="1" x="8"/>
        <item h="1" x="1"/>
        <item h="1" x="4"/>
        <item h="1" x="9"/>
        <item h="1" x="7"/>
        <item h="1" x="0"/>
        <item x="2"/>
        <item t="default"/>
      </items>
    </pivotField>
    <pivotField axis="axisCol" showAll="0">
      <items count="10">
        <item x="0"/>
        <item x="2"/>
        <item x="8"/>
        <item x="3"/>
        <item x="7"/>
        <item x="5"/>
        <item x="4"/>
        <item x="1"/>
        <item x="6"/>
        <item t="default"/>
      </items>
    </pivotField>
    <pivotField showAll="0"/>
    <pivotField showAll="0"/>
  </pivotFields>
  <rowFields count="1">
    <field x="5"/>
  </rowFields>
  <rowItems count="10">
    <i>
      <x/>
    </i>
    <i>
      <x v="1"/>
    </i>
    <i>
      <x v="2"/>
    </i>
    <i>
      <x v="3"/>
    </i>
    <i>
      <x v="4"/>
    </i>
    <i>
      <x v="5"/>
    </i>
    <i>
      <x v="6"/>
    </i>
    <i>
      <x v="7"/>
    </i>
    <i>
      <x v="8"/>
    </i>
    <i t="grand">
      <x/>
    </i>
  </rowItems>
  <colFields count="1">
    <field x="10"/>
  </colFields>
  <colItems count="10">
    <i>
      <x/>
    </i>
    <i>
      <x v="1"/>
    </i>
    <i>
      <x v="2"/>
    </i>
    <i>
      <x v="3"/>
    </i>
    <i>
      <x v="4"/>
    </i>
    <i>
      <x v="5"/>
    </i>
    <i>
      <x v="6"/>
    </i>
    <i>
      <x v="7"/>
    </i>
    <i>
      <x v="8"/>
    </i>
    <i t="grand">
      <x/>
    </i>
  </colItems>
  <dataFields count="1">
    <dataField name="Count of MovieName" fld="0" subtotal="count" baseField="0" baseItem="0"/>
  </dataFields>
  <pivotTableStyleInfo name="PivotStyleLight16" showRowHeaders="1" showColHeaders="1" showRowStripes="0" showColStripes="0" showLastColumn="1"/>
  <filters count="1">
    <filter fld="7" type="captionContains" evalOrder="-1" id="1" stringValue1="Flop">
      <autoFilter ref="A1">
        <filterColumn colId="0">
          <customFilters>
            <customFilter val="*Flop*"/>
          </customFilters>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4.xml><?xml version="1.0" encoding="utf-8"?>
<pivotTableDefinition xmlns="http://schemas.openxmlformats.org/spreadsheetml/2006/main" name="PivotTable11"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olHeaderCaption="SNI">
  <location ref="U16:W54" firstHeaderRow="1" firstDataRow="2" firstDataCol="1"/>
  <pivotFields count="13">
    <pivotField axis="axisRow" showAll="0">
      <items count="72">
        <item x="0"/>
        <item x="9"/>
        <item x="10"/>
        <item x="11"/>
        <item x="12"/>
        <item x="13"/>
        <item x="14"/>
        <item x="15"/>
        <item x="16"/>
        <item x="17"/>
        <item x="18"/>
        <item x="19"/>
        <item x="20"/>
        <item x="21"/>
        <item x="22"/>
        <item x="23"/>
        <item x="24"/>
        <item x="25"/>
        <item x="26"/>
        <item x="27"/>
        <item x="28"/>
        <item x="2"/>
        <item x="2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
        <item x="8"/>
        <item x="1"/>
        <item t="default"/>
      </items>
    </pivotField>
    <pivotField axis="axisRow" showAll="0">
      <items count="12">
        <item x="8"/>
        <item x="2"/>
        <item x="0"/>
        <item x="7"/>
        <item x="4"/>
        <item x="6"/>
        <item x="1"/>
        <item x="9"/>
        <item x="5"/>
        <item x="10"/>
        <item x="3"/>
        <item t="default"/>
      </items>
    </pivotField>
    <pivotField showAll="0"/>
    <pivotField showAll="0"/>
    <pivotField axis="axisRow" showAll="0">
      <items count="11">
        <item x="2"/>
        <item x="8"/>
        <item x="1"/>
        <item x="3"/>
        <item x="4"/>
        <item x="5"/>
        <item x="0"/>
        <item x="6"/>
        <item x="9"/>
        <item x="7"/>
        <item t="default"/>
      </items>
    </pivotField>
    <pivotField showAll="0"/>
    <pivotField showAll="0"/>
    <pivotField showAll="0">
      <items count="4">
        <item x="1"/>
        <item x="0"/>
        <item x="2"/>
        <item t="default"/>
      </items>
    </pivotField>
    <pivotField showAll="0"/>
    <pivotField showAll="0">
      <items count="11">
        <item h="1" x="6"/>
        <item h="1" x="3"/>
        <item h="1" x="5"/>
        <item h="1" x="8"/>
        <item h="1" x="1"/>
        <item h="1" x="4"/>
        <item h="1" x="9"/>
        <item h="1" x="7"/>
        <item h="1" x="0"/>
        <item x="2"/>
        <item t="default"/>
      </items>
    </pivotField>
    <pivotField showAll="0">
      <items count="10">
        <item x="0"/>
        <item x="2"/>
        <item x="8"/>
        <item x="3"/>
        <item x="7"/>
        <item x="5"/>
        <item x="4"/>
        <item x="1"/>
        <item x="6"/>
        <item t="default"/>
      </items>
    </pivotField>
    <pivotField showAll="0"/>
    <pivotField axis="axisCol" showAll="0">
      <items count="4">
        <item x="2"/>
        <item h="1" x="0"/>
        <item h="1" x="1"/>
        <item t="default"/>
      </items>
    </pivotField>
  </pivotFields>
  <rowFields count="3">
    <field x="1"/>
    <field x="0"/>
    <field x="4"/>
  </rowFields>
  <rowItems count="37">
    <i>
      <x/>
    </i>
    <i r="1">
      <x v="27"/>
    </i>
    <i r="2">
      <x v="6"/>
    </i>
    <i>
      <x v="1"/>
    </i>
    <i r="1">
      <x v="4"/>
    </i>
    <i r="2">
      <x v="3"/>
    </i>
    <i r="1">
      <x v="14"/>
    </i>
    <i r="2">
      <x v="7"/>
    </i>
    <i r="1">
      <x v="65"/>
    </i>
    <i r="2">
      <x v="6"/>
    </i>
    <i>
      <x v="2"/>
    </i>
    <i r="1">
      <x v="2"/>
    </i>
    <i r="2">
      <x v="5"/>
    </i>
    <i r="1">
      <x v="15"/>
    </i>
    <i r="2">
      <x v="2"/>
    </i>
    <i r="1">
      <x v="17"/>
    </i>
    <i r="2">
      <x v="1"/>
    </i>
    <i r="1">
      <x v="39"/>
    </i>
    <i r="2">
      <x v="5"/>
    </i>
    <i>
      <x v="3"/>
    </i>
    <i r="1">
      <x v="7"/>
    </i>
    <i r="2">
      <x v="2"/>
    </i>
    <i>
      <x v="6"/>
    </i>
    <i r="1">
      <x v="35"/>
    </i>
    <i r="2">
      <x v="1"/>
    </i>
    <i>
      <x v="7"/>
    </i>
    <i r="1">
      <x v="51"/>
    </i>
    <i r="2">
      <x v="3"/>
    </i>
    <i r="1">
      <x v="53"/>
    </i>
    <i r="2">
      <x v="5"/>
    </i>
    <i>
      <x v="8"/>
    </i>
    <i r="1">
      <x v="69"/>
    </i>
    <i r="2">
      <x v="3"/>
    </i>
    <i>
      <x v="9"/>
    </i>
    <i r="1">
      <x v="62"/>
    </i>
    <i r="2">
      <x/>
    </i>
    <i t="grand">
      <x/>
    </i>
  </rowItems>
  <colFields count="1">
    <field x="12"/>
  </colFields>
  <colItems count="2">
    <i>
      <x/>
    </i>
    <i t="grand">
      <x/>
    </i>
  </colItems>
  <pivotTableStyleInfo name="PivotStyleLight16" showRowHeaders="1" showColHeaders="1" showRowStripes="0" showColStripes="0" showLastColumn="1"/>
  <filters count="1">
    <filter fld="7" type="captionContains" evalOrder="-1" id="1" stringValue1="Flop">
      <autoFilter ref="A1">
        <filterColumn colId="0">
          <customFilters>
            <customFilter val="*Flop*"/>
          </customFilters>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5.xml><?xml version="1.0" encoding="utf-8"?>
<pivotTableDefinition xmlns="http://schemas.openxmlformats.org/spreadsheetml/2006/main" name="PivotTable10"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Status" colHeaderCaption="Director">
  <location ref="Q16:S24" firstHeaderRow="1" firstDataRow="2" firstDataCol="1"/>
  <pivotFields count="13">
    <pivotField axis="axisRow" showAll="0">
      <items count="72">
        <item x="0"/>
        <item x="9"/>
        <item x="10"/>
        <item x="11"/>
        <item x="12"/>
        <item x="13"/>
        <item x="14"/>
        <item x="15"/>
        <item x="16"/>
        <item x="17"/>
        <item x="18"/>
        <item x="19"/>
        <item x="20"/>
        <item x="21"/>
        <item x="22"/>
        <item x="23"/>
        <item x="24"/>
        <item x="25"/>
        <item x="26"/>
        <item x="27"/>
        <item x="28"/>
        <item x="2"/>
        <item x="2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
        <item x="8"/>
        <item x="1"/>
        <item t="default"/>
      </items>
    </pivotField>
    <pivotField showAll="0"/>
    <pivotField showAll="0"/>
    <pivotField showAll="0"/>
    <pivotField showAll="0"/>
    <pivotField showAll="0"/>
    <pivotField showAll="0"/>
    <pivotField axis="axisRow" showAll="0">
      <items count="4">
        <item x="1"/>
        <item x="0"/>
        <item x="2"/>
        <item t="default"/>
      </items>
    </pivotField>
    <pivotField showAll="0"/>
    <pivotField axis="axisCol" showAll="0">
      <items count="11">
        <item h="1" x="6"/>
        <item h="1" x="3"/>
        <item h="1" x="5"/>
        <item h="1" x="8"/>
        <item h="1" x="1"/>
        <item h="1" x="4"/>
        <item h="1" x="9"/>
        <item h="1" x="7"/>
        <item h="1" x="0"/>
        <item x="2"/>
        <item t="default"/>
      </items>
    </pivotField>
    <pivotField showAll="0">
      <items count="10">
        <item x="0"/>
        <item x="2"/>
        <item x="8"/>
        <item x="3"/>
        <item x="7"/>
        <item x="5"/>
        <item x="4"/>
        <item x="1"/>
        <item x="6"/>
        <item t="default"/>
      </items>
    </pivotField>
    <pivotField showAll="0"/>
    <pivotField showAll="0"/>
  </pivotFields>
  <rowFields count="2">
    <field x="7"/>
    <field x="0"/>
  </rowFields>
  <rowItems count="7">
    <i>
      <x/>
    </i>
    <i r="1">
      <x v="30"/>
    </i>
    <i r="1">
      <x v="38"/>
    </i>
    <i r="1">
      <x v="44"/>
    </i>
    <i r="1">
      <x v="49"/>
    </i>
    <i r="1">
      <x v="57"/>
    </i>
    <i t="grand">
      <x/>
    </i>
  </rowItems>
  <colFields count="1">
    <field x="9"/>
  </colFields>
  <colItems count="2">
    <i>
      <x v="9"/>
    </i>
    <i t="grand">
      <x/>
    </i>
  </colItems>
  <pivotTableStyleInfo name="PivotStyleLight16" showRowHeaders="1" showColHeaders="1" showRowStripes="0" showColStripes="0" showLastColumn="1"/>
  <filters count="1">
    <filter fld="7" type="captionContains" evalOrder="-1" id="1" stringValue1="Flop">
      <autoFilter ref="A1">
        <filterColumn colId="0">
          <customFilters>
            <customFilter val="*Flop*"/>
          </customFilters>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6.xml><?xml version="1.0" encoding="utf-8"?>
<pivotTableDefinition xmlns="http://schemas.openxmlformats.org/spreadsheetml/2006/main" name="PivotTable9"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Language">
  <location ref="N16:O26" firstHeaderRow="1" firstDataRow="1" firstDataCol="1"/>
  <pivotFields count="13">
    <pivotField dataField="1" showAll="0"/>
    <pivotField showAll="0"/>
    <pivotField showAll="0"/>
    <pivotField showAll="0"/>
    <pivotField showAll="0"/>
    <pivotField showAll="0"/>
    <pivotField showAll="0"/>
    <pivotField showAll="0"/>
    <pivotField showAll="0"/>
    <pivotField showAll="0"/>
    <pivotField axis="axisRow" showAll="0">
      <items count="10">
        <item x="0"/>
        <item x="2"/>
        <item x="8"/>
        <item x="3"/>
        <item x="7"/>
        <item x="5"/>
        <item x="4"/>
        <item x="1"/>
        <item x="6"/>
        <item t="default"/>
      </items>
    </pivotField>
    <pivotField showAll="0"/>
    <pivotField showAll="0"/>
  </pivotFields>
  <rowFields count="1">
    <field x="10"/>
  </rowFields>
  <rowItems count="10">
    <i>
      <x/>
    </i>
    <i>
      <x v="1"/>
    </i>
    <i>
      <x v="2"/>
    </i>
    <i>
      <x v="3"/>
    </i>
    <i>
      <x v="4"/>
    </i>
    <i>
      <x v="5"/>
    </i>
    <i>
      <x v="6"/>
    </i>
    <i>
      <x v="7"/>
    </i>
    <i>
      <x v="8"/>
    </i>
    <i t="grand">
      <x/>
    </i>
  </rowItems>
  <colItems count="1">
    <i/>
  </colItems>
  <dataFields count="1">
    <dataField name="Count of Movies" fld="0" subtotal="count" baseField="1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20.xml"/><Relationship Id="rId3" Type="http://schemas.openxmlformats.org/officeDocument/2006/relationships/pivotTable" Target="../pivotTables/pivotTable15.xml"/><Relationship Id="rId7" Type="http://schemas.openxmlformats.org/officeDocument/2006/relationships/pivotTable" Target="../pivotTables/pivotTable19.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pivotTable" Target="../pivotTables/pivotTable18.xml"/><Relationship Id="rId5" Type="http://schemas.openxmlformats.org/officeDocument/2006/relationships/pivotTable" Target="../pivotTables/pivotTable17.xml"/><Relationship Id="rId10" Type="http://schemas.openxmlformats.org/officeDocument/2006/relationships/drawing" Target="../drawings/drawing1.xml"/><Relationship Id="rId4" Type="http://schemas.openxmlformats.org/officeDocument/2006/relationships/pivotTable" Target="../pivotTables/pivotTable16.xml"/><Relationship Id="rId9"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23.xml"/><Relationship Id="rId2" Type="http://schemas.openxmlformats.org/officeDocument/2006/relationships/pivotTable" Target="../pivotTables/pivotTable22.xml"/><Relationship Id="rId1" Type="http://schemas.openxmlformats.org/officeDocument/2006/relationships/pivotTable" Target="../pivotTables/pivotTable21.xml"/><Relationship Id="rId6" Type="http://schemas.openxmlformats.org/officeDocument/2006/relationships/pivotTable" Target="../pivotTables/pivotTable26.xml"/><Relationship Id="rId5" Type="http://schemas.openxmlformats.org/officeDocument/2006/relationships/pivotTable" Target="../pivotTables/pivotTable25.xml"/><Relationship Id="rId4" Type="http://schemas.openxmlformats.org/officeDocument/2006/relationships/pivotTable" Target="../pivotTables/pivotTable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05"/>
  <sheetViews>
    <sheetView zoomScale="101" workbookViewId="0">
      <selection activeCell="L30" sqref="L30"/>
    </sheetView>
  </sheetViews>
  <sheetFormatPr defaultColWidth="14.4140625" defaultRowHeight="15" customHeight="1"/>
  <cols>
    <col min="1" max="1" width="13.08203125" customWidth="1"/>
    <col min="2" max="2" width="11.6640625" customWidth="1"/>
    <col min="3" max="3" width="16.33203125" customWidth="1"/>
    <col min="4" max="4" width="13.08203125" customWidth="1"/>
    <col min="5" max="5" width="16.4140625" customWidth="1"/>
    <col min="6" max="6" width="8.75" customWidth="1"/>
    <col min="7" max="7" width="12.08203125" customWidth="1"/>
    <col min="8" max="8" width="12.1640625" customWidth="1"/>
    <col min="9" max="9" width="8.75" customWidth="1"/>
    <col min="10" max="10" width="12.4140625" bestFit="1" customWidth="1"/>
    <col min="11" max="11" width="15.6640625" bestFit="1" customWidth="1"/>
    <col min="12" max="12" width="11.33203125" customWidth="1"/>
    <col min="13" max="13" width="3.9140625" bestFit="1" customWidth="1"/>
    <col min="14" max="14" width="5.6640625" bestFit="1" customWidth="1"/>
    <col min="15" max="15" width="4.25" bestFit="1" customWidth="1"/>
    <col min="16" max="16" width="13.08203125" customWidth="1"/>
    <col min="17" max="17" width="12" customWidth="1"/>
    <col min="18" max="18" width="15.5" customWidth="1"/>
    <col min="19" max="19" width="11.6640625" customWidth="1"/>
    <col min="20" max="20" width="4.6640625" bestFit="1" customWidth="1"/>
    <col min="21" max="21" width="6.08203125" bestFit="1" customWidth="1"/>
    <col min="22" max="22" width="4.4140625" bestFit="1" customWidth="1"/>
    <col min="23" max="23" width="4.08203125" bestFit="1" customWidth="1"/>
    <col min="24" max="24" width="3" bestFit="1" customWidth="1"/>
    <col min="25" max="25" width="5.6640625" bestFit="1" customWidth="1"/>
    <col min="26" max="26" width="1.75" bestFit="1" customWidth="1"/>
    <col min="27" max="27" width="4.1640625" bestFit="1" customWidth="1"/>
    <col min="28" max="28" width="3.5" bestFit="1" customWidth="1"/>
    <col min="29" max="29" width="4.83203125" bestFit="1" customWidth="1"/>
    <col min="30" max="30" width="3.33203125" bestFit="1" customWidth="1"/>
    <col min="31" max="31" width="4" bestFit="1" customWidth="1"/>
    <col min="32" max="32" width="3.83203125" bestFit="1" customWidth="1"/>
    <col min="33" max="33" width="10.33203125" bestFit="1" customWidth="1"/>
    <col min="34" max="35" width="2.83203125" bestFit="1" customWidth="1"/>
    <col min="36" max="36" width="10.33203125" bestFit="1" customWidth="1"/>
    <col min="37" max="63" width="2.83203125" bestFit="1" customWidth="1"/>
    <col min="64" max="64" width="10.33203125" bestFit="1" customWidth="1"/>
    <col min="65" max="68" width="3.83203125" bestFit="1" customWidth="1"/>
    <col min="69" max="100" width="4.83203125" bestFit="1" customWidth="1"/>
    <col min="101" max="101" width="10.33203125" bestFit="1" customWidth="1"/>
  </cols>
  <sheetData>
    <row r="1" spans="1:19" ht="14.25" customHeight="1" thickBot="1">
      <c r="A1" s="1" t="s">
        <v>0</v>
      </c>
      <c r="B1" s="2" t="s">
        <v>1</v>
      </c>
      <c r="C1" s="2" t="s">
        <v>2</v>
      </c>
      <c r="D1" s="2" t="s">
        <v>3</v>
      </c>
      <c r="E1" s="2" t="s">
        <v>4</v>
      </c>
      <c r="F1" s="2" t="s">
        <v>5</v>
      </c>
      <c r="G1" s="2" t="s">
        <v>6</v>
      </c>
      <c r="H1" s="2" t="s">
        <v>7</v>
      </c>
      <c r="I1" s="3"/>
      <c r="J1" s="3"/>
      <c r="K1" s="3"/>
      <c r="L1" s="3"/>
      <c r="M1" s="3"/>
      <c r="N1" s="3"/>
      <c r="O1" s="3"/>
      <c r="P1" s="3"/>
      <c r="Q1" s="3"/>
      <c r="R1" s="3"/>
      <c r="S1" s="3"/>
    </row>
    <row r="2" spans="1:19" ht="14.25" customHeight="1" thickBot="1">
      <c r="A2" s="4">
        <v>40553</v>
      </c>
      <c r="B2" s="5" t="s">
        <v>8</v>
      </c>
      <c r="C2" s="5" t="s">
        <v>9</v>
      </c>
      <c r="D2" s="5" t="s">
        <v>10</v>
      </c>
      <c r="E2" s="5" t="s">
        <v>179</v>
      </c>
      <c r="F2" s="6">
        <v>63</v>
      </c>
      <c r="G2" s="7">
        <v>1449</v>
      </c>
      <c r="H2" s="6">
        <v>693</v>
      </c>
      <c r="I2" s="3"/>
      <c r="J2" s="3"/>
      <c r="K2" s="3"/>
      <c r="L2" s="3"/>
      <c r="M2" s="3"/>
      <c r="N2" s="3"/>
      <c r="O2" s="3"/>
      <c r="P2" s="3"/>
      <c r="Q2" s="3"/>
      <c r="R2" s="3"/>
      <c r="S2" s="3"/>
    </row>
    <row r="3" spans="1:19" ht="14.25" customHeight="1" thickBot="1">
      <c r="A3" s="4">
        <v>40544</v>
      </c>
      <c r="B3" s="5" t="s">
        <v>12</v>
      </c>
      <c r="C3" s="5" t="s">
        <v>9</v>
      </c>
      <c r="D3" s="5" t="s">
        <v>13</v>
      </c>
      <c r="E3" s="5" t="s">
        <v>179</v>
      </c>
      <c r="F3" s="6">
        <v>16</v>
      </c>
      <c r="G3" s="6">
        <v>432</v>
      </c>
      <c r="H3" s="6">
        <v>232</v>
      </c>
      <c r="I3" s="3"/>
      <c r="J3" s="44" t="s">
        <v>312</v>
      </c>
      <c r="K3" s="45"/>
      <c r="L3" s="45"/>
      <c r="M3" s="45"/>
      <c r="N3" s="45"/>
      <c r="O3" s="45"/>
      <c r="P3" s="45"/>
      <c r="Q3" s="45"/>
      <c r="R3" s="46"/>
      <c r="S3" s="3"/>
    </row>
    <row r="4" spans="1:19" ht="14.25" customHeight="1" thickBot="1">
      <c r="A4" s="4">
        <v>40561</v>
      </c>
      <c r="B4" s="5" t="s">
        <v>14</v>
      </c>
      <c r="C4" s="5" t="s">
        <v>9</v>
      </c>
      <c r="D4" s="5" t="s">
        <v>15</v>
      </c>
      <c r="E4" s="5" t="s">
        <v>179</v>
      </c>
      <c r="F4" s="6">
        <v>24</v>
      </c>
      <c r="G4" s="6">
        <v>456</v>
      </c>
      <c r="H4" s="6">
        <v>192</v>
      </c>
      <c r="I4" s="3"/>
      <c r="J4" s="47"/>
      <c r="K4" s="48"/>
      <c r="L4" s="48"/>
      <c r="M4" s="48"/>
      <c r="N4" s="48"/>
      <c r="O4" s="48"/>
      <c r="P4" s="48"/>
      <c r="Q4" s="48"/>
      <c r="R4" s="49"/>
      <c r="S4" s="3"/>
    </row>
    <row r="5" spans="1:19" ht="14.25" customHeight="1" thickBot="1">
      <c r="A5" s="4">
        <v>40606</v>
      </c>
      <c r="B5" s="5" t="s">
        <v>14</v>
      </c>
      <c r="C5" s="5" t="s">
        <v>9</v>
      </c>
      <c r="D5" s="5" t="s">
        <v>15</v>
      </c>
      <c r="E5" s="5" t="s">
        <v>179</v>
      </c>
      <c r="F5" s="6">
        <v>24</v>
      </c>
      <c r="G5" s="6">
        <v>456</v>
      </c>
      <c r="H5" s="6">
        <v>192</v>
      </c>
      <c r="I5" s="3"/>
      <c r="J5" s="47"/>
      <c r="K5" s="48"/>
      <c r="L5" s="48"/>
      <c r="M5" s="48"/>
      <c r="N5" s="48"/>
      <c r="O5" s="48"/>
      <c r="P5" s="48"/>
      <c r="Q5" s="48"/>
      <c r="R5" s="49"/>
      <c r="S5" s="3"/>
    </row>
    <row r="6" spans="1:19" ht="14.25" customHeight="1" thickBot="1">
      <c r="A6" s="4">
        <v>40572</v>
      </c>
      <c r="B6" s="5" t="s">
        <v>16</v>
      </c>
      <c r="C6" s="5" t="s">
        <v>9</v>
      </c>
      <c r="D6" s="5" t="s">
        <v>17</v>
      </c>
      <c r="E6" s="5" t="s">
        <v>18</v>
      </c>
      <c r="F6" s="6">
        <v>50</v>
      </c>
      <c r="G6" s="7">
        <v>1100</v>
      </c>
      <c r="H6" s="6">
        <v>500</v>
      </c>
      <c r="I6" s="3"/>
      <c r="J6" s="47"/>
      <c r="K6" s="48"/>
      <c r="L6" s="48"/>
      <c r="M6" s="48"/>
      <c r="N6" s="48"/>
      <c r="O6" s="48"/>
      <c r="P6" s="48"/>
      <c r="Q6" s="48"/>
      <c r="R6" s="49"/>
      <c r="S6" s="3"/>
    </row>
    <row r="7" spans="1:19" ht="14.25" customHeight="1" thickBot="1">
      <c r="A7" s="4">
        <v>40565</v>
      </c>
      <c r="B7" s="5" t="s">
        <v>16</v>
      </c>
      <c r="C7" s="5" t="s">
        <v>19</v>
      </c>
      <c r="D7" s="5" t="s">
        <v>10</v>
      </c>
      <c r="E7" s="5" t="s">
        <v>18</v>
      </c>
      <c r="F7" s="6">
        <v>53</v>
      </c>
      <c r="G7" s="7">
        <v>1166</v>
      </c>
      <c r="H7" s="6">
        <v>530</v>
      </c>
      <c r="I7" s="3"/>
      <c r="J7" s="47"/>
      <c r="K7" s="48"/>
      <c r="L7" s="48"/>
      <c r="M7" s="48"/>
      <c r="N7" s="48"/>
      <c r="O7" s="48"/>
      <c r="P7" s="48"/>
      <c r="Q7" s="48"/>
      <c r="R7" s="49"/>
      <c r="S7" s="3"/>
    </row>
    <row r="8" spans="1:19" ht="14.25" customHeight="1" thickBot="1">
      <c r="A8" s="4">
        <v>40610</v>
      </c>
      <c r="B8" s="5" t="s">
        <v>16</v>
      </c>
      <c r="C8" s="5" t="s">
        <v>19</v>
      </c>
      <c r="D8" s="5" t="s">
        <v>10</v>
      </c>
      <c r="E8" s="5" t="s">
        <v>18</v>
      </c>
      <c r="F8" s="6">
        <v>53</v>
      </c>
      <c r="G8" s="7">
        <v>1166</v>
      </c>
      <c r="H8" s="6">
        <v>530</v>
      </c>
      <c r="I8" s="3"/>
      <c r="J8" s="47"/>
      <c r="K8" s="48"/>
      <c r="L8" s="48"/>
      <c r="M8" s="48"/>
      <c r="N8" s="48"/>
      <c r="O8" s="48"/>
      <c r="P8" s="48"/>
      <c r="Q8" s="48"/>
      <c r="R8" s="49"/>
      <c r="S8" s="3"/>
    </row>
    <row r="9" spans="1:19" ht="14.25" customHeight="1" thickBot="1">
      <c r="A9" s="4">
        <v>40545</v>
      </c>
      <c r="B9" s="5" t="s">
        <v>12</v>
      </c>
      <c r="C9" s="5" t="s">
        <v>19</v>
      </c>
      <c r="D9" s="5" t="s">
        <v>10</v>
      </c>
      <c r="E9" s="5" t="s">
        <v>18</v>
      </c>
      <c r="F9" s="6">
        <v>30</v>
      </c>
      <c r="G9" s="6">
        <v>810</v>
      </c>
      <c r="H9" s="6">
        <v>435</v>
      </c>
      <c r="I9" s="3"/>
      <c r="J9" s="47"/>
      <c r="K9" s="48"/>
      <c r="L9" s="48"/>
      <c r="M9" s="48"/>
      <c r="N9" s="48"/>
      <c r="O9" s="48"/>
      <c r="P9" s="48"/>
      <c r="Q9" s="48"/>
      <c r="R9" s="49"/>
      <c r="S9" s="3"/>
    </row>
    <row r="10" spans="1:19" ht="14.25" customHeight="1" thickBot="1">
      <c r="A10" s="4">
        <v>40558</v>
      </c>
      <c r="B10" s="5" t="s">
        <v>20</v>
      </c>
      <c r="C10" s="5" t="s">
        <v>9</v>
      </c>
      <c r="D10" s="5" t="s">
        <v>21</v>
      </c>
      <c r="E10" s="5" t="s">
        <v>18</v>
      </c>
      <c r="F10" s="6">
        <v>63</v>
      </c>
      <c r="G10" s="7">
        <v>1323</v>
      </c>
      <c r="H10" s="6">
        <v>583</v>
      </c>
      <c r="I10" s="3"/>
      <c r="J10" s="47"/>
      <c r="K10" s="48"/>
      <c r="L10" s="48"/>
      <c r="M10" s="48"/>
      <c r="N10" s="48"/>
      <c r="O10" s="48"/>
      <c r="P10" s="48"/>
      <c r="Q10" s="48"/>
      <c r="R10" s="49"/>
      <c r="S10" s="3"/>
    </row>
    <row r="11" spans="1:19" ht="14.25" customHeight="1" thickBot="1">
      <c r="A11" s="4">
        <v>40561</v>
      </c>
      <c r="B11" s="5" t="s">
        <v>14</v>
      </c>
      <c r="C11" s="5" t="s">
        <v>19</v>
      </c>
      <c r="D11" s="5" t="s">
        <v>13</v>
      </c>
      <c r="E11" s="5" t="s">
        <v>18</v>
      </c>
      <c r="F11" s="6">
        <v>8</v>
      </c>
      <c r="G11" s="6">
        <v>152</v>
      </c>
      <c r="H11" s="6">
        <v>64</v>
      </c>
      <c r="I11" s="3"/>
      <c r="J11" s="47"/>
      <c r="K11" s="48"/>
      <c r="L11" s="48"/>
      <c r="M11" s="48"/>
      <c r="N11" s="48"/>
      <c r="O11" s="48"/>
      <c r="P11" s="48"/>
      <c r="Q11" s="48"/>
      <c r="R11" s="49"/>
      <c r="S11" s="3"/>
    </row>
    <row r="12" spans="1:19" ht="14.25" customHeight="1" thickBot="1">
      <c r="A12" s="4">
        <v>40591</v>
      </c>
      <c r="B12" s="5" t="s">
        <v>14</v>
      </c>
      <c r="C12" s="5" t="s">
        <v>19</v>
      </c>
      <c r="D12" s="5" t="s">
        <v>13</v>
      </c>
      <c r="E12" s="5" t="s">
        <v>18</v>
      </c>
      <c r="F12" s="6">
        <v>8</v>
      </c>
      <c r="G12" s="6">
        <v>152</v>
      </c>
      <c r="H12" s="6">
        <v>64</v>
      </c>
      <c r="I12" s="3"/>
      <c r="J12" s="47"/>
      <c r="K12" s="48"/>
      <c r="L12" s="48"/>
      <c r="M12" s="48"/>
      <c r="N12" s="48"/>
      <c r="O12" s="48"/>
      <c r="P12" s="48"/>
      <c r="Q12" s="48"/>
      <c r="R12" s="49"/>
      <c r="S12" s="3"/>
    </row>
    <row r="13" spans="1:19" ht="14.25" customHeight="1" thickBot="1">
      <c r="A13" s="4">
        <v>40567</v>
      </c>
      <c r="B13" s="5" t="s">
        <v>8</v>
      </c>
      <c r="C13" s="5" t="s">
        <v>22</v>
      </c>
      <c r="D13" s="5" t="s">
        <v>15</v>
      </c>
      <c r="E13" s="5" t="s">
        <v>23</v>
      </c>
      <c r="F13" s="6">
        <v>13</v>
      </c>
      <c r="G13" s="6">
        <v>299</v>
      </c>
      <c r="H13" s="6">
        <v>143</v>
      </c>
      <c r="I13" s="3"/>
      <c r="J13" s="47"/>
      <c r="K13" s="48"/>
      <c r="L13" s="48"/>
      <c r="M13" s="48"/>
      <c r="N13" s="48"/>
      <c r="O13" s="48"/>
      <c r="P13" s="48"/>
      <c r="Q13" s="48"/>
      <c r="R13" s="49"/>
      <c r="S13" s="3"/>
    </row>
    <row r="14" spans="1:19" ht="14.25" customHeight="1" thickBot="1">
      <c r="A14" s="4">
        <v>40612</v>
      </c>
      <c r="B14" s="5" t="s">
        <v>8</v>
      </c>
      <c r="C14" s="5" t="s">
        <v>22</v>
      </c>
      <c r="D14" s="5" t="s">
        <v>15</v>
      </c>
      <c r="E14" s="5" t="s">
        <v>23</v>
      </c>
      <c r="F14" s="6">
        <v>13</v>
      </c>
      <c r="G14" s="6">
        <v>299</v>
      </c>
      <c r="H14" s="6">
        <v>143</v>
      </c>
      <c r="I14" s="3"/>
      <c r="J14" s="47"/>
      <c r="K14" s="48"/>
      <c r="L14" s="48"/>
      <c r="M14" s="48"/>
      <c r="N14" s="48"/>
      <c r="O14" s="48"/>
      <c r="P14" s="48"/>
      <c r="Q14" s="48"/>
      <c r="R14" s="49"/>
      <c r="S14" s="3"/>
    </row>
    <row r="15" spans="1:19" ht="14.25" customHeight="1" thickBot="1">
      <c r="A15" s="4">
        <v>40554</v>
      </c>
      <c r="B15" s="5" t="s">
        <v>12</v>
      </c>
      <c r="C15" s="5" t="s">
        <v>9</v>
      </c>
      <c r="D15" s="5" t="s">
        <v>24</v>
      </c>
      <c r="E15" s="5" t="s">
        <v>23</v>
      </c>
      <c r="F15" s="6">
        <v>49</v>
      </c>
      <c r="G15" s="7">
        <v>1323</v>
      </c>
      <c r="H15" s="6">
        <v>711</v>
      </c>
      <c r="I15" s="3"/>
      <c r="J15" s="47"/>
      <c r="K15" s="48"/>
      <c r="L15" s="48"/>
      <c r="M15" s="48"/>
      <c r="N15" s="48"/>
      <c r="O15" s="48"/>
      <c r="P15" s="48"/>
      <c r="Q15" s="48"/>
      <c r="R15" s="49"/>
      <c r="S15" s="3"/>
    </row>
    <row r="16" spans="1:19" ht="14.25" customHeight="1" thickBot="1">
      <c r="A16" s="4">
        <v>40547</v>
      </c>
      <c r="B16" s="5" t="s">
        <v>20</v>
      </c>
      <c r="C16" s="5" t="s">
        <v>22</v>
      </c>
      <c r="D16" s="5" t="s">
        <v>13</v>
      </c>
      <c r="E16" s="5" t="s">
        <v>23</v>
      </c>
      <c r="F16" s="6">
        <v>29</v>
      </c>
      <c r="G16" s="6">
        <v>609</v>
      </c>
      <c r="H16" s="6">
        <v>268</v>
      </c>
      <c r="I16" s="3"/>
      <c r="J16" s="47"/>
      <c r="K16" s="48"/>
      <c r="L16" s="48"/>
      <c r="M16" s="48"/>
      <c r="N16" s="48"/>
      <c r="O16" s="48"/>
      <c r="P16" s="48"/>
      <c r="Q16" s="48"/>
      <c r="R16" s="49"/>
      <c r="S16" s="3"/>
    </row>
    <row r="17" spans="1:19" ht="14.25" customHeight="1" thickBot="1">
      <c r="A17" s="4">
        <v>40561</v>
      </c>
      <c r="B17" s="5" t="s">
        <v>16</v>
      </c>
      <c r="C17" s="5" t="s">
        <v>9</v>
      </c>
      <c r="D17" s="5" t="s">
        <v>15</v>
      </c>
      <c r="E17" s="5" t="s">
        <v>25</v>
      </c>
      <c r="F17" s="6">
        <v>20</v>
      </c>
      <c r="G17" s="6">
        <v>440</v>
      </c>
      <c r="H17" s="6">
        <v>200</v>
      </c>
      <c r="I17" s="3"/>
      <c r="J17" s="47"/>
      <c r="K17" s="48"/>
      <c r="L17" s="48"/>
      <c r="M17" s="48"/>
      <c r="N17" s="48"/>
      <c r="O17" s="48"/>
      <c r="P17" s="48"/>
      <c r="Q17" s="48"/>
      <c r="R17" s="49"/>
      <c r="S17" s="3"/>
    </row>
    <row r="18" spans="1:19" ht="14.25" customHeight="1" thickBot="1">
      <c r="A18" s="4">
        <v>40566</v>
      </c>
      <c r="B18" s="5" t="s">
        <v>16</v>
      </c>
      <c r="C18" s="5" t="s">
        <v>9</v>
      </c>
      <c r="D18" s="5" t="s">
        <v>21</v>
      </c>
      <c r="E18" s="5" t="s">
        <v>25</v>
      </c>
      <c r="F18" s="6">
        <v>9</v>
      </c>
      <c r="G18" s="6">
        <v>198</v>
      </c>
      <c r="H18" s="6">
        <v>90</v>
      </c>
      <c r="I18" s="3"/>
      <c r="J18" s="47"/>
      <c r="K18" s="48"/>
      <c r="L18" s="48"/>
      <c r="M18" s="48"/>
      <c r="N18" s="48"/>
      <c r="O18" s="48"/>
      <c r="P18" s="48"/>
      <c r="Q18" s="48"/>
      <c r="R18" s="49"/>
      <c r="S18" s="3"/>
    </row>
    <row r="19" spans="1:19" ht="14.25" customHeight="1" thickBot="1">
      <c r="A19" s="4">
        <v>40611</v>
      </c>
      <c r="B19" s="5" t="s">
        <v>16</v>
      </c>
      <c r="C19" s="5" t="s">
        <v>9</v>
      </c>
      <c r="D19" s="5" t="s">
        <v>21</v>
      </c>
      <c r="E19" s="5" t="s">
        <v>25</v>
      </c>
      <c r="F19" s="6">
        <v>9</v>
      </c>
      <c r="G19" s="6">
        <v>198</v>
      </c>
      <c r="H19" s="6">
        <v>90</v>
      </c>
      <c r="I19" s="3"/>
      <c r="J19" s="47"/>
      <c r="K19" s="48"/>
      <c r="L19" s="48"/>
      <c r="M19" s="48"/>
      <c r="N19" s="48"/>
      <c r="O19" s="48"/>
      <c r="P19" s="48"/>
      <c r="Q19" s="48"/>
      <c r="R19" s="49"/>
      <c r="S19" s="3"/>
    </row>
    <row r="20" spans="1:19" ht="14.25" customHeight="1" thickBot="1">
      <c r="A20" s="4">
        <v>40569</v>
      </c>
      <c r="B20" s="5" t="s">
        <v>20</v>
      </c>
      <c r="C20" s="5" t="s">
        <v>26</v>
      </c>
      <c r="D20" s="5" t="s">
        <v>13</v>
      </c>
      <c r="E20" s="5" t="s">
        <v>25</v>
      </c>
      <c r="F20" s="6">
        <v>44</v>
      </c>
      <c r="G20" s="6">
        <v>924</v>
      </c>
      <c r="H20" s="6">
        <v>407</v>
      </c>
      <c r="I20" s="3"/>
      <c r="J20" s="50"/>
      <c r="K20" s="51"/>
      <c r="L20" s="51"/>
      <c r="M20" s="51"/>
      <c r="N20" s="51"/>
      <c r="O20" s="51"/>
      <c r="P20" s="51"/>
      <c r="Q20" s="51"/>
      <c r="R20" s="52"/>
      <c r="S20" s="3"/>
    </row>
    <row r="21" spans="1:19" ht="14.25" customHeight="1" thickBot="1">
      <c r="A21" s="4">
        <v>40561</v>
      </c>
      <c r="B21" s="5" t="s">
        <v>16</v>
      </c>
      <c r="C21" s="5" t="s">
        <v>9</v>
      </c>
      <c r="D21" s="5" t="s">
        <v>10</v>
      </c>
      <c r="E21" s="5" t="s">
        <v>27</v>
      </c>
      <c r="F21" s="6">
        <v>59</v>
      </c>
      <c r="G21" s="7">
        <v>1298</v>
      </c>
      <c r="H21" s="6">
        <v>590</v>
      </c>
      <c r="I21" s="3"/>
      <c r="J21" s="3"/>
      <c r="K21" s="3"/>
      <c r="L21" s="3"/>
      <c r="M21" s="3"/>
      <c r="N21" s="3"/>
      <c r="O21" s="3"/>
      <c r="P21" s="3"/>
      <c r="Q21" s="3"/>
      <c r="R21" s="3"/>
      <c r="S21" s="3"/>
    </row>
    <row r="22" spans="1:19" ht="14.25" customHeight="1" thickBot="1">
      <c r="A22" s="4">
        <v>40553</v>
      </c>
      <c r="B22" s="5" t="s">
        <v>12</v>
      </c>
      <c r="C22" s="5" t="s">
        <v>9</v>
      </c>
      <c r="D22" s="5" t="s">
        <v>24</v>
      </c>
      <c r="E22" s="5" t="s">
        <v>27</v>
      </c>
      <c r="F22" s="6">
        <v>17</v>
      </c>
      <c r="G22" s="6">
        <v>459</v>
      </c>
      <c r="H22" s="6">
        <v>247</v>
      </c>
      <c r="I22" s="3"/>
      <c r="J22" s="3">
        <v>1</v>
      </c>
      <c r="K22" s="3">
        <v>1</v>
      </c>
      <c r="L22" s="3"/>
      <c r="M22" s="3"/>
      <c r="N22" s="3"/>
      <c r="O22" s="3"/>
      <c r="P22" s="3"/>
      <c r="Q22" s="3"/>
      <c r="R22" s="3"/>
      <c r="S22" s="3"/>
    </row>
    <row r="23" spans="1:19" ht="14.25" customHeight="1" thickBot="1">
      <c r="A23" s="4">
        <v>40564</v>
      </c>
      <c r="B23" s="5" t="s">
        <v>14</v>
      </c>
      <c r="C23" s="5" t="s">
        <v>22</v>
      </c>
      <c r="D23" s="5" t="s">
        <v>10</v>
      </c>
      <c r="E23" s="5" t="s">
        <v>27</v>
      </c>
      <c r="F23" s="6">
        <v>23</v>
      </c>
      <c r="G23" s="6">
        <v>437</v>
      </c>
      <c r="H23" s="6">
        <v>184</v>
      </c>
      <c r="I23" s="3"/>
      <c r="J23" s="35" t="s">
        <v>260</v>
      </c>
      <c r="K23" t="s">
        <v>263</v>
      </c>
      <c r="M23" s="3"/>
      <c r="N23" s="3"/>
      <c r="O23" s="3"/>
      <c r="P23" s="3"/>
      <c r="Q23" s="3"/>
      <c r="R23" s="3"/>
      <c r="S23" s="3"/>
    </row>
    <row r="24" spans="1:19" ht="14.25" customHeight="1" thickBot="1">
      <c r="A24" s="4">
        <v>40573</v>
      </c>
      <c r="B24" s="5" t="s">
        <v>14</v>
      </c>
      <c r="C24" s="5" t="s">
        <v>19</v>
      </c>
      <c r="D24" s="5" t="s">
        <v>21</v>
      </c>
      <c r="E24" s="5" t="s">
        <v>27</v>
      </c>
      <c r="F24" s="6">
        <v>49</v>
      </c>
      <c r="G24" s="6">
        <v>931</v>
      </c>
      <c r="H24" s="6">
        <v>392</v>
      </c>
      <c r="I24" s="3"/>
      <c r="J24" s="36" t="s">
        <v>16</v>
      </c>
      <c r="K24" s="38">
        <v>5000</v>
      </c>
      <c r="M24" s="3"/>
      <c r="N24" s="3"/>
      <c r="O24" s="3"/>
      <c r="P24" s="3"/>
      <c r="Q24" s="3"/>
      <c r="R24" s="3"/>
      <c r="S24" s="3"/>
    </row>
    <row r="25" spans="1:19" ht="14.25" customHeight="1" thickBot="1">
      <c r="A25" s="4">
        <v>40552</v>
      </c>
      <c r="B25" s="5" t="s">
        <v>16</v>
      </c>
      <c r="C25" s="5" t="s">
        <v>9</v>
      </c>
      <c r="D25" s="5" t="s">
        <v>10</v>
      </c>
      <c r="E25" s="5" t="s">
        <v>28</v>
      </c>
      <c r="F25" s="6">
        <v>40</v>
      </c>
      <c r="G25" s="6">
        <v>880</v>
      </c>
      <c r="H25" s="6">
        <v>400</v>
      </c>
      <c r="I25" s="3"/>
      <c r="J25" s="37" t="s">
        <v>9</v>
      </c>
      <c r="K25" s="38">
        <v>1298</v>
      </c>
      <c r="M25" s="3"/>
      <c r="N25" s="3"/>
      <c r="O25" s="3"/>
      <c r="P25" s="3"/>
      <c r="Q25" s="3"/>
      <c r="R25" s="3"/>
      <c r="S25" s="3"/>
    </row>
    <row r="26" spans="1:19" ht="14.25" customHeight="1" thickBot="1">
      <c r="A26" s="4">
        <v>40597</v>
      </c>
      <c r="B26" s="5" t="s">
        <v>16</v>
      </c>
      <c r="C26" s="5" t="s">
        <v>9</v>
      </c>
      <c r="D26" s="5" t="s">
        <v>10</v>
      </c>
      <c r="E26" s="5" t="s">
        <v>28</v>
      </c>
      <c r="F26" s="6">
        <v>40</v>
      </c>
      <c r="G26" s="6">
        <v>880</v>
      </c>
      <c r="H26" s="6">
        <v>400</v>
      </c>
      <c r="I26" s="3"/>
      <c r="J26" s="37" t="s">
        <v>22</v>
      </c>
      <c r="K26" s="38">
        <v>1254</v>
      </c>
      <c r="M26" s="3"/>
      <c r="N26" s="3"/>
      <c r="O26" s="3"/>
      <c r="P26" s="3"/>
      <c r="Q26" s="3"/>
      <c r="R26" s="3"/>
      <c r="S26" s="3"/>
    </row>
    <row r="27" spans="1:19" ht="14.25" customHeight="1" thickBot="1">
      <c r="A27" s="4">
        <v>40560</v>
      </c>
      <c r="B27" s="5" t="s">
        <v>12</v>
      </c>
      <c r="C27" s="5" t="s">
        <v>22</v>
      </c>
      <c r="D27" s="5" t="s">
        <v>17</v>
      </c>
      <c r="E27" s="5" t="s">
        <v>28</v>
      </c>
      <c r="F27" s="6">
        <v>61</v>
      </c>
      <c r="G27" s="7">
        <v>1647</v>
      </c>
      <c r="H27" s="6">
        <v>885</v>
      </c>
      <c r="I27" s="3"/>
      <c r="J27" s="37" t="s">
        <v>26</v>
      </c>
      <c r="K27" s="38">
        <v>770</v>
      </c>
      <c r="M27" s="3"/>
      <c r="N27" s="3"/>
      <c r="O27" s="3"/>
      <c r="P27" s="3"/>
      <c r="Q27" s="3"/>
      <c r="R27" s="3"/>
      <c r="S27" s="3"/>
    </row>
    <row r="28" spans="1:19" ht="14.25" customHeight="1" thickBot="1">
      <c r="A28" s="4">
        <v>40563</v>
      </c>
      <c r="B28" s="5" t="s">
        <v>8</v>
      </c>
      <c r="C28" s="5" t="s">
        <v>9</v>
      </c>
      <c r="D28" s="5" t="s">
        <v>17</v>
      </c>
      <c r="E28" s="5" t="s">
        <v>29</v>
      </c>
      <c r="F28" s="6">
        <v>59</v>
      </c>
      <c r="G28" s="7">
        <v>1357</v>
      </c>
      <c r="H28" s="6">
        <v>649</v>
      </c>
      <c r="I28" s="3"/>
      <c r="J28" s="37" t="s">
        <v>19</v>
      </c>
      <c r="K28" s="38">
        <v>5000</v>
      </c>
      <c r="M28" s="3"/>
      <c r="N28" s="3"/>
      <c r="O28" s="3"/>
      <c r="P28" s="3"/>
      <c r="Q28" s="3"/>
      <c r="R28" s="3"/>
      <c r="S28" s="3"/>
    </row>
    <row r="29" spans="1:19" ht="14.25" customHeight="1" thickBot="1">
      <c r="A29" s="4">
        <v>40593</v>
      </c>
      <c r="B29" s="5" t="s">
        <v>8</v>
      </c>
      <c r="C29" s="5" t="s">
        <v>9</v>
      </c>
      <c r="D29" s="5" t="s">
        <v>17</v>
      </c>
      <c r="E29" s="5" t="s">
        <v>29</v>
      </c>
      <c r="F29" s="6">
        <v>59</v>
      </c>
      <c r="G29" s="7">
        <v>1357</v>
      </c>
      <c r="H29" s="6">
        <v>649</v>
      </c>
      <c r="I29" s="3"/>
      <c r="J29" s="36" t="s">
        <v>8</v>
      </c>
      <c r="K29" s="38">
        <v>1449</v>
      </c>
      <c r="M29" s="3"/>
      <c r="N29" s="3"/>
      <c r="O29" s="3"/>
      <c r="P29" s="3"/>
      <c r="Q29" s="3"/>
      <c r="R29" s="3"/>
      <c r="S29" s="3"/>
    </row>
    <row r="30" spans="1:19" ht="14.25" customHeight="1" thickBot="1">
      <c r="A30" s="4">
        <v>40548</v>
      </c>
      <c r="B30" s="5" t="s">
        <v>14</v>
      </c>
      <c r="C30" s="5" t="s">
        <v>19</v>
      </c>
      <c r="D30" s="5" t="s">
        <v>15</v>
      </c>
      <c r="E30" s="5" t="s">
        <v>29</v>
      </c>
      <c r="F30" s="6">
        <v>12</v>
      </c>
      <c r="G30" s="6">
        <v>228</v>
      </c>
      <c r="H30" s="6">
        <v>96</v>
      </c>
      <c r="I30" s="3"/>
      <c r="J30" s="37" t="s">
        <v>9</v>
      </c>
      <c r="K30" s="38">
        <v>1449</v>
      </c>
      <c r="M30" s="3"/>
      <c r="N30" s="3"/>
      <c r="O30" s="3"/>
      <c r="P30" s="3"/>
      <c r="Q30" s="3"/>
      <c r="R30" s="3"/>
      <c r="S30" s="3"/>
    </row>
    <row r="31" spans="1:19" ht="14.25" customHeight="1" thickBot="1">
      <c r="A31" s="4">
        <v>40593</v>
      </c>
      <c r="B31" s="5" t="s">
        <v>14</v>
      </c>
      <c r="C31" s="5" t="s">
        <v>19</v>
      </c>
      <c r="D31" s="5" t="s">
        <v>15</v>
      </c>
      <c r="E31" s="5" t="s">
        <v>29</v>
      </c>
      <c r="F31" s="6">
        <v>12</v>
      </c>
      <c r="G31" s="6">
        <v>228</v>
      </c>
      <c r="H31" s="6">
        <v>96</v>
      </c>
      <c r="I31" s="3"/>
      <c r="J31" s="37" t="s">
        <v>22</v>
      </c>
      <c r="K31" s="38">
        <v>460</v>
      </c>
      <c r="M31" s="3"/>
      <c r="N31" s="3"/>
      <c r="O31" s="3"/>
      <c r="P31" s="3"/>
      <c r="Q31" s="3"/>
      <c r="R31" s="3"/>
      <c r="S31" s="3"/>
    </row>
    <row r="32" spans="1:19" ht="14.25" customHeight="1" thickBot="1">
      <c r="A32" s="4">
        <v>40553</v>
      </c>
      <c r="B32" s="5" t="s">
        <v>16</v>
      </c>
      <c r="C32" s="5" t="s">
        <v>22</v>
      </c>
      <c r="D32" s="5" t="s">
        <v>21</v>
      </c>
      <c r="E32" s="5" t="s">
        <v>30</v>
      </c>
      <c r="F32" s="6">
        <v>7</v>
      </c>
      <c r="G32" s="6">
        <v>154</v>
      </c>
      <c r="H32" s="6">
        <v>70</v>
      </c>
      <c r="I32" s="3"/>
      <c r="J32" s="37" t="s">
        <v>26</v>
      </c>
      <c r="K32" s="38">
        <v>1219</v>
      </c>
      <c r="M32" s="3"/>
      <c r="N32" s="3"/>
      <c r="O32" s="3"/>
      <c r="P32" s="3"/>
      <c r="Q32" s="3"/>
      <c r="R32" s="3"/>
      <c r="S32" s="3"/>
    </row>
    <row r="33" spans="1:19" ht="14.25" customHeight="1" thickBot="1">
      <c r="A33" s="4">
        <v>40546</v>
      </c>
      <c r="B33" s="5" t="s">
        <v>8</v>
      </c>
      <c r="C33" s="5" t="s">
        <v>22</v>
      </c>
      <c r="D33" s="5" t="s">
        <v>17</v>
      </c>
      <c r="E33" s="5" t="s">
        <v>30</v>
      </c>
      <c r="F33" s="6">
        <v>20</v>
      </c>
      <c r="G33" s="6">
        <v>460</v>
      </c>
      <c r="H33" s="6">
        <v>220</v>
      </c>
      <c r="I33" s="3"/>
      <c r="J33" s="37" t="s">
        <v>19</v>
      </c>
      <c r="K33" s="38">
        <v>1380</v>
      </c>
      <c r="M33" s="3"/>
      <c r="N33" s="3"/>
      <c r="O33" s="3"/>
      <c r="P33" s="3"/>
      <c r="Q33" s="3"/>
      <c r="R33" s="3"/>
      <c r="S33" s="3"/>
    </row>
    <row r="34" spans="1:19" ht="14.25" customHeight="1" thickBot="1">
      <c r="A34" s="4">
        <v>40591</v>
      </c>
      <c r="B34" s="5" t="s">
        <v>8</v>
      </c>
      <c r="C34" s="5" t="s">
        <v>22</v>
      </c>
      <c r="D34" s="5" t="s">
        <v>17</v>
      </c>
      <c r="E34" s="5" t="s">
        <v>30</v>
      </c>
      <c r="F34" s="6">
        <v>20</v>
      </c>
      <c r="G34" s="6">
        <v>460</v>
      </c>
      <c r="H34" s="6">
        <v>220</v>
      </c>
      <c r="I34" s="3"/>
      <c r="J34" s="36" t="s">
        <v>12</v>
      </c>
      <c r="K34" s="38">
        <v>1755</v>
      </c>
      <c r="M34" s="3"/>
      <c r="N34" s="3"/>
      <c r="O34" s="3"/>
      <c r="P34" s="3"/>
      <c r="Q34" s="3"/>
      <c r="R34" s="3"/>
      <c r="S34" s="3"/>
    </row>
    <row r="35" spans="1:19" ht="14.25" customHeight="1" thickBot="1">
      <c r="A35" s="4">
        <v>40556</v>
      </c>
      <c r="B35" s="5" t="s">
        <v>8</v>
      </c>
      <c r="C35" s="5" t="s">
        <v>26</v>
      </c>
      <c r="D35" s="5" t="s">
        <v>24</v>
      </c>
      <c r="E35" s="5" t="s">
        <v>30</v>
      </c>
      <c r="F35" s="6">
        <v>52</v>
      </c>
      <c r="G35" s="7">
        <v>1196</v>
      </c>
      <c r="H35" s="6">
        <v>572</v>
      </c>
      <c r="I35" s="3"/>
      <c r="J35" s="37" t="s">
        <v>9</v>
      </c>
      <c r="K35" s="38">
        <v>1674</v>
      </c>
      <c r="M35" s="3"/>
      <c r="N35" s="3"/>
      <c r="O35" s="3"/>
      <c r="P35" s="3"/>
      <c r="Q35" s="3"/>
      <c r="R35" s="3"/>
      <c r="S35" s="3"/>
    </row>
    <row r="36" spans="1:19" ht="14.25" customHeight="1" thickBot="1">
      <c r="A36" s="4">
        <v>40564</v>
      </c>
      <c r="B36" s="5" t="s">
        <v>12</v>
      </c>
      <c r="C36" s="5" t="s">
        <v>9</v>
      </c>
      <c r="D36" s="5" t="s">
        <v>17</v>
      </c>
      <c r="E36" s="5" t="s">
        <v>30</v>
      </c>
      <c r="F36" s="6">
        <v>58</v>
      </c>
      <c r="G36" s="7">
        <v>1566</v>
      </c>
      <c r="H36" s="6">
        <v>841</v>
      </c>
      <c r="I36" s="3"/>
      <c r="J36" s="37" t="s">
        <v>22</v>
      </c>
      <c r="K36" s="38">
        <v>1647</v>
      </c>
      <c r="M36" s="3"/>
      <c r="N36" s="3"/>
      <c r="O36" s="3"/>
      <c r="P36" s="3"/>
      <c r="Q36" s="3"/>
      <c r="R36" s="3"/>
      <c r="S36" s="3"/>
    </row>
    <row r="37" spans="1:19" ht="14.25" customHeight="1" thickBot="1">
      <c r="A37" s="4">
        <v>40565</v>
      </c>
      <c r="B37" s="5" t="s">
        <v>12</v>
      </c>
      <c r="C37" s="5" t="s">
        <v>26</v>
      </c>
      <c r="D37" s="5" t="s">
        <v>15</v>
      </c>
      <c r="E37" s="5" t="s">
        <v>30</v>
      </c>
      <c r="F37" s="6">
        <v>29</v>
      </c>
      <c r="G37" s="6">
        <v>783</v>
      </c>
      <c r="H37" s="6">
        <v>421</v>
      </c>
      <c r="I37" s="3"/>
      <c r="J37" s="37" t="s">
        <v>26</v>
      </c>
      <c r="K37" s="38">
        <v>1512</v>
      </c>
      <c r="M37" s="3"/>
      <c r="N37" s="3"/>
      <c r="O37" s="3"/>
      <c r="P37" s="3"/>
      <c r="Q37" s="3"/>
      <c r="R37" s="3"/>
      <c r="S37" s="3"/>
    </row>
    <row r="38" spans="1:19" ht="14.25" customHeight="1" thickBot="1">
      <c r="A38" s="4">
        <v>40571</v>
      </c>
      <c r="B38" s="5" t="s">
        <v>20</v>
      </c>
      <c r="C38" s="5" t="s">
        <v>19</v>
      </c>
      <c r="D38" s="5" t="s">
        <v>17</v>
      </c>
      <c r="E38" s="5" t="s">
        <v>30</v>
      </c>
      <c r="F38" s="6">
        <v>62</v>
      </c>
      <c r="G38" s="7">
        <v>1302</v>
      </c>
      <c r="H38" s="6">
        <v>574</v>
      </c>
      <c r="I38" s="3"/>
      <c r="J38" s="37" t="s">
        <v>19</v>
      </c>
      <c r="K38" s="38">
        <v>1755</v>
      </c>
      <c r="M38" s="3"/>
      <c r="N38" s="3"/>
      <c r="O38" s="3"/>
      <c r="P38" s="3"/>
      <c r="Q38" s="3"/>
      <c r="R38" s="3"/>
      <c r="S38" s="3"/>
    </row>
    <row r="39" spans="1:19" ht="14.25" customHeight="1" thickBot="1">
      <c r="A39" s="4">
        <v>40546</v>
      </c>
      <c r="B39" s="5" t="s">
        <v>14</v>
      </c>
      <c r="C39" s="5" t="s">
        <v>9</v>
      </c>
      <c r="D39" s="5" t="s">
        <v>10</v>
      </c>
      <c r="E39" s="5" t="s">
        <v>30</v>
      </c>
      <c r="F39" s="6">
        <v>38</v>
      </c>
      <c r="G39" s="6">
        <v>722</v>
      </c>
      <c r="H39" s="6">
        <v>304</v>
      </c>
      <c r="I39" s="3"/>
      <c r="J39" s="36" t="s">
        <v>20</v>
      </c>
      <c r="K39" s="38">
        <v>1323</v>
      </c>
      <c r="M39" s="3"/>
      <c r="N39" s="3"/>
      <c r="O39" s="3"/>
      <c r="P39" s="3"/>
      <c r="Q39" s="3"/>
      <c r="R39" s="3"/>
      <c r="S39" s="3"/>
    </row>
    <row r="40" spans="1:19" ht="14.25" customHeight="1" thickBot="1">
      <c r="A40" s="4">
        <v>40569</v>
      </c>
      <c r="B40" s="5" t="s">
        <v>16</v>
      </c>
      <c r="C40" s="5" t="s">
        <v>19</v>
      </c>
      <c r="D40" s="5" t="s">
        <v>10</v>
      </c>
      <c r="E40" s="5" t="s">
        <v>31</v>
      </c>
      <c r="F40" s="6">
        <v>61</v>
      </c>
      <c r="G40" s="7">
        <v>5000</v>
      </c>
      <c r="H40" s="6">
        <v>610</v>
      </c>
      <c r="I40" s="3"/>
      <c r="J40" s="37" t="s">
        <v>9</v>
      </c>
      <c r="K40" s="38">
        <v>1323</v>
      </c>
      <c r="M40" s="3"/>
      <c r="N40" s="3"/>
      <c r="O40" s="3"/>
      <c r="P40" s="3"/>
      <c r="Q40" s="3"/>
      <c r="R40" s="3"/>
      <c r="S40" s="3"/>
    </row>
    <row r="41" spans="1:19" ht="14.25" customHeight="1" thickBot="1">
      <c r="A41" s="4">
        <v>40571</v>
      </c>
      <c r="B41" s="5" t="s">
        <v>14</v>
      </c>
      <c r="C41" s="5" t="s">
        <v>26</v>
      </c>
      <c r="D41" s="5" t="s">
        <v>24</v>
      </c>
      <c r="E41" s="5" t="s">
        <v>31</v>
      </c>
      <c r="F41" s="6">
        <v>51</v>
      </c>
      <c r="G41" s="6">
        <v>969</v>
      </c>
      <c r="H41" s="6">
        <v>408</v>
      </c>
      <c r="I41" s="3"/>
      <c r="J41" s="37" t="s">
        <v>22</v>
      </c>
      <c r="K41" s="38">
        <v>609</v>
      </c>
      <c r="L41" s="3"/>
      <c r="M41" s="3"/>
      <c r="N41" s="3"/>
      <c r="O41" s="3"/>
      <c r="P41" s="3"/>
      <c r="Q41" s="3"/>
      <c r="R41" s="3"/>
      <c r="S41" s="3"/>
    </row>
    <row r="42" spans="1:19" ht="14.25" customHeight="1" thickBot="1">
      <c r="A42" s="4">
        <v>40601</v>
      </c>
      <c r="B42" s="5" t="s">
        <v>14</v>
      </c>
      <c r="C42" s="5" t="s">
        <v>26</v>
      </c>
      <c r="D42" s="5" t="s">
        <v>24</v>
      </c>
      <c r="E42" s="5" t="s">
        <v>31</v>
      </c>
      <c r="F42" s="6">
        <v>51</v>
      </c>
      <c r="G42" s="6">
        <v>969</v>
      </c>
      <c r="H42" s="6">
        <v>408</v>
      </c>
      <c r="I42" s="3"/>
      <c r="J42" s="37" t="s">
        <v>26</v>
      </c>
      <c r="K42" s="38">
        <v>1197</v>
      </c>
      <c r="L42" s="3"/>
      <c r="M42" s="3"/>
      <c r="N42" s="3"/>
      <c r="O42" s="3"/>
      <c r="P42" s="3"/>
      <c r="Q42" s="3"/>
      <c r="R42" s="3"/>
      <c r="S42" s="3"/>
    </row>
    <row r="43" spans="1:19" ht="14.25" customHeight="1" thickBot="1">
      <c r="A43" s="4">
        <v>40550</v>
      </c>
      <c r="B43" s="5" t="s">
        <v>8</v>
      </c>
      <c r="C43" s="5" t="s">
        <v>22</v>
      </c>
      <c r="D43" s="5" t="s">
        <v>15</v>
      </c>
      <c r="E43" s="5" t="s">
        <v>32</v>
      </c>
      <c r="F43" s="6">
        <v>12</v>
      </c>
      <c r="G43" s="6">
        <v>276</v>
      </c>
      <c r="H43" s="6">
        <v>132</v>
      </c>
      <c r="I43" s="3"/>
      <c r="J43" s="37" t="s">
        <v>19</v>
      </c>
      <c r="K43" s="38">
        <v>1302</v>
      </c>
      <c r="L43" s="3"/>
      <c r="M43" s="3"/>
      <c r="N43" s="3"/>
      <c r="O43" s="3"/>
      <c r="P43" s="3"/>
      <c r="Q43" s="3"/>
      <c r="R43" s="3"/>
      <c r="S43" s="3"/>
    </row>
    <row r="44" spans="1:19" ht="14.25" customHeight="1" thickBot="1">
      <c r="A44" s="4">
        <v>40580</v>
      </c>
      <c r="B44" s="5" t="s">
        <v>8</v>
      </c>
      <c r="C44" s="5" t="s">
        <v>22</v>
      </c>
      <c r="D44" s="5" t="s">
        <v>15</v>
      </c>
      <c r="E44" s="5" t="s">
        <v>32</v>
      </c>
      <c r="F44" s="6">
        <v>12</v>
      </c>
      <c r="G44" s="6">
        <v>276</v>
      </c>
      <c r="H44" s="6">
        <v>132</v>
      </c>
      <c r="I44" s="3"/>
      <c r="J44" s="36" t="s">
        <v>14</v>
      </c>
      <c r="K44" s="38">
        <v>1216</v>
      </c>
      <c r="L44" s="3"/>
      <c r="M44" s="3"/>
      <c r="N44" s="3"/>
      <c r="O44" s="3"/>
      <c r="P44" s="3"/>
      <c r="Q44" s="3"/>
      <c r="R44" s="3"/>
      <c r="S44" s="3"/>
    </row>
    <row r="45" spans="1:19" ht="14.25" customHeight="1" thickBot="1">
      <c r="A45" s="4">
        <v>40564</v>
      </c>
      <c r="B45" s="5" t="s">
        <v>20</v>
      </c>
      <c r="C45" s="5" t="s">
        <v>26</v>
      </c>
      <c r="D45" s="5" t="s">
        <v>10</v>
      </c>
      <c r="E45" s="5" t="s">
        <v>32</v>
      </c>
      <c r="F45" s="6">
        <v>13</v>
      </c>
      <c r="G45" s="6">
        <v>273</v>
      </c>
      <c r="H45" s="6">
        <v>120</v>
      </c>
      <c r="I45" s="3"/>
      <c r="J45" s="37" t="s">
        <v>9</v>
      </c>
      <c r="K45" s="38">
        <v>1026</v>
      </c>
      <c r="L45" s="3"/>
      <c r="M45" s="3"/>
      <c r="N45" s="3"/>
      <c r="O45" s="3"/>
      <c r="P45" s="3"/>
      <c r="Q45" s="3"/>
      <c r="R45" s="3"/>
      <c r="S45" s="3"/>
    </row>
    <row r="46" spans="1:19" ht="14.25" customHeight="1" thickBot="1">
      <c r="A46" s="4">
        <v>40560</v>
      </c>
      <c r="B46" s="5" t="s">
        <v>14</v>
      </c>
      <c r="C46" s="5" t="s">
        <v>22</v>
      </c>
      <c r="D46" s="5" t="s">
        <v>15</v>
      </c>
      <c r="E46" s="5" t="s">
        <v>32</v>
      </c>
      <c r="F46" s="6">
        <v>59</v>
      </c>
      <c r="G46" s="7">
        <v>1121</v>
      </c>
      <c r="H46" s="6">
        <v>472</v>
      </c>
      <c r="I46" s="3"/>
      <c r="J46" s="37" t="s">
        <v>22</v>
      </c>
      <c r="K46" s="38">
        <v>1216</v>
      </c>
      <c r="L46" s="3"/>
      <c r="M46" s="3"/>
      <c r="N46" s="3"/>
      <c r="O46" s="3"/>
      <c r="P46" s="3"/>
      <c r="Q46" s="3"/>
      <c r="R46" s="3"/>
      <c r="S46" s="3"/>
    </row>
    <row r="47" spans="1:19" ht="14.25" customHeight="1" thickBot="1">
      <c r="A47" s="4">
        <v>40560</v>
      </c>
      <c r="B47" s="5" t="s">
        <v>12</v>
      </c>
      <c r="C47" s="5" t="s">
        <v>9</v>
      </c>
      <c r="D47" s="5" t="s">
        <v>15</v>
      </c>
      <c r="E47" s="5" t="s">
        <v>33</v>
      </c>
      <c r="F47" s="6">
        <v>62</v>
      </c>
      <c r="G47" s="7">
        <v>1674</v>
      </c>
      <c r="H47" s="6">
        <v>899</v>
      </c>
      <c r="I47" s="3"/>
      <c r="J47" s="37" t="s">
        <v>26</v>
      </c>
      <c r="K47" s="38">
        <v>969</v>
      </c>
      <c r="L47" s="3"/>
      <c r="M47" s="3"/>
      <c r="N47" s="3"/>
      <c r="O47" s="3"/>
      <c r="P47" s="3"/>
      <c r="Q47" s="3"/>
      <c r="R47" s="3"/>
      <c r="S47" s="3"/>
    </row>
    <row r="48" spans="1:19" ht="14.25" customHeight="1" thickBot="1">
      <c r="A48" s="4">
        <v>40590</v>
      </c>
      <c r="B48" s="5" t="s">
        <v>12</v>
      </c>
      <c r="C48" s="5" t="s">
        <v>9</v>
      </c>
      <c r="D48" s="5" t="s">
        <v>15</v>
      </c>
      <c r="E48" s="5" t="s">
        <v>33</v>
      </c>
      <c r="F48" s="6">
        <v>62</v>
      </c>
      <c r="G48" s="7">
        <v>1674</v>
      </c>
      <c r="H48" s="6">
        <v>899</v>
      </c>
      <c r="I48" s="3"/>
      <c r="J48" s="37" t="s">
        <v>19</v>
      </c>
      <c r="K48" s="38">
        <v>1102</v>
      </c>
      <c r="L48" s="3"/>
      <c r="M48" s="3"/>
      <c r="N48" s="3"/>
      <c r="O48" s="3"/>
      <c r="P48" s="3"/>
      <c r="Q48" s="3"/>
      <c r="R48" s="3"/>
      <c r="S48" s="3"/>
    </row>
    <row r="49" spans="1:19" ht="14.25" customHeight="1" thickBot="1">
      <c r="A49" s="4">
        <v>40551</v>
      </c>
      <c r="B49" s="5" t="s">
        <v>12</v>
      </c>
      <c r="C49" s="5" t="s">
        <v>19</v>
      </c>
      <c r="D49" s="5" t="s">
        <v>17</v>
      </c>
      <c r="E49" s="5" t="s">
        <v>33</v>
      </c>
      <c r="F49" s="6">
        <v>16</v>
      </c>
      <c r="G49" s="6">
        <v>432</v>
      </c>
      <c r="H49" s="6">
        <v>232</v>
      </c>
      <c r="I49" s="3"/>
      <c r="J49" s="36" t="s">
        <v>261</v>
      </c>
      <c r="K49" s="38">
        <v>5000</v>
      </c>
      <c r="L49" s="3"/>
      <c r="M49" s="3"/>
      <c r="N49" s="3"/>
      <c r="O49" s="3"/>
      <c r="P49" s="3"/>
      <c r="Q49" s="3"/>
      <c r="R49" s="3"/>
      <c r="S49" s="3"/>
    </row>
    <row r="50" spans="1:19" ht="14.25" customHeight="1" thickBot="1">
      <c r="A50" s="4">
        <v>40567</v>
      </c>
      <c r="B50" s="5" t="s">
        <v>12</v>
      </c>
      <c r="C50" s="5" t="s">
        <v>19</v>
      </c>
      <c r="D50" s="5" t="s">
        <v>21</v>
      </c>
      <c r="E50" s="5" t="s">
        <v>33</v>
      </c>
      <c r="F50" s="6">
        <v>63</v>
      </c>
      <c r="G50" s="7">
        <v>1701</v>
      </c>
      <c r="H50" s="6">
        <v>914</v>
      </c>
      <c r="I50" s="3"/>
      <c r="J50" s="3"/>
      <c r="K50" s="3"/>
      <c r="L50" s="3"/>
      <c r="M50" s="3"/>
      <c r="N50" s="3"/>
      <c r="O50" s="3"/>
      <c r="P50" s="3"/>
      <c r="Q50" s="3"/>
      <c r="R50" s="3"/>
      <c r="S50" s="3"/>
    </row>
    <row r="51" spans="1:19" ht="14.25" customHeight="1" thickBot="1">
      <c r="A51" s="4">
        <v>40548</v>
      </c>
      <c r="B51" s="5" t="s">
        <v>8</v>
      </c>
      <c r="C51" s="5" t="s">
        <v>19</v>
      </c>
      <c r="D51" s="5" t="s">
        <v>15</v>
      </c>
      <c r="E51" s="5" t="s">
        <v>34</v>
      </c>
      <c r="F51" s="6">
        <v>60</v>
      </c>
      <c r="G51" s="7">
        <v>1380</v>
      </c>
      <c r="H51" s="6">
        <v>660</v>
      </c>
      <c r="I51" s="3"/>
      <c r="J51" s="3"/>
      <c r="K51" s="3"/>
      <c r="L51" s="3"/>
      <c r="M51" s="3"/>
      <c r="N51" s="3"/>
      <c r="O51" s="3"/>
      <c r="P51" s="3"/>
      <c r="Q51" s="3"/>
      <c r="R51" s="3"/>
      <c r="S51" s="3"/>
    </row>
    <row r="52" spans="1:19" ht="14.25" customHeight="1" thickBot="1">
      <c r="A52" s="4">
        <v>40578</v>
      </c>
      <c r="B52" s="5" t="s">
        <v>8</v>
      </c>
      <c r="C52" s="5" t="s">
        <v>19</v>
      </c>
      <c r="D52" s="5" t="s">
        <v>15</v>
      </c>
      <c r="E52" s="5" t="s">
        <v>34</v>
      </c>
      <c r="F52" s="6">
        <v>60</v>
      </c>
      <c r="G52" s="7">
        <v>1380</v>
      </c>
      <c r="H52" s="6">
        <v>660</v>
      </c>
      <c r="I52" s="3"/>
      <c r="J52" s="3">
        <v>2</v>
      </c>
      <c r="K52" s="3">
        <v>2</v>
      </c>
      <c r="L52" s="3"/>
      <c r="M52" s="3"/>
      <c r="N52" s="3"/>
      <c r="O52" s="3"/>
      <c r="P52" s="3"/>
      <c r="Q52" s="3"/>
      <c r="R52" s="3"/>
      <c r="S52" s="3"/>
    </row>
    <row r="53" spans="1:19" ht="14.25" customHeight="1" thickBot="1">
      <c r="A53" s="4">
        <v>40554</v>
      </c>
      <c r="B53" s="5" t="s">
        <v>12</v>
      </c>
      <c r="C53" s="5" t="s">
        <v>9</v>
      </c>
      <c r="D53" s="5" t="s">
        <v>15</v>
      </c>
      <c r="E53" s="5" t="s">
        <v>35</v>
      </c>
      <c r="F53" s="6">
        <v>14</v>
      </c>
      <c r="G53" s="6">
        <v>378</v>
      </c>
      <c r="H53" s="6">
        <v>203</v>
      </c>
      <c r="I53" s="3"/>
      <c r="J53" s="35" t="s">
        <v>260</v>
      </c>
      <c r="K53" t="s">
        <v>265</v>
      </c>
      <c r="L53" t="s">
        <v>264</v>
      </c>
      <c r="M53" s="3"/>
      <c r="N53" s="3"/>
      <c r="O53" s="3"/>
      <c r="P53" s="3"/>
      <c r="Q53" s="3"/>
      <c r="R53" s="3"/>
      <c r="S53" s="3"/>
    </row>
    <row r="54" spans="1:19" ht="14.25" customHeight="1" thickBot="1">
      <c r="A54" s="4">
        <v>40599</v>
      </c>
      <c r="B54" s="5" t="s">
        <v>12</v>
      </c>
      <c r="C54" s="5" t="s">
        <v>9</v>
      </c>
      <c r="D54" s="5" t="s">
        <v>15</v>
      </c>
      <c r="E54" s="5" t="s">
        <v>35</v>
      </c>
      <c r="F54" s="6">
        <v>14</v>
      </c>
      <c r="G54" s="6">
        <v>378</v>
      </c>
      <c r="H54" s="6">
        <v>203</v>
      </c>
      <c r="I54" s="3"/>
      <c r="J54" s="36" t="s">
        <v>9</v>
      </c>
      <c r="K54" s="38">
        <v>408.43589743589746</v>
      </c>
      <c r="L54" s="39">
        <v>0.32212335692618804</v>
      </c>
      <c r="M54" s="3"/>
      <c r="N54" s="3"/>
      <c r="O54" s="3"/>
      <c r="P54" s="3"/>
      <c r="Q54" s="3"/>
      <c r="R54" s="3"/>
      <c r="S54" s="3"/>
    </row>
    <row r="55" spans="1:19" ht="14.25" customHeight="1" thickBot="1">
      <c r="A55" s="4">
        <v>40564</v>
      </c>
      <c r="B55" s="5" t="s">
        <v>12</v>
      </c>
      <c r="C55" s="5" t="s">
        <v>19</v>
      </c>
      <c r="D55" s="5" t="s">
        <v>21</v>
      </c>
      <c r="E55" s="5" t="s">
        <v>35</v>
      </c>
      <c r="F55" s="6">
        <v>56</v>
      </c>
      <c r="G55" s="7">
        <v>1512</v>
      </c>
      <c r="H55" s="6">
        <v>812</v>
      </c>
      <c r="I55" s="3"/>
      <c r="J55" s="36" t="s">
        <v>22</v>
      </c>
      <c r="K55" s="38">
        <v>293.41935483870969</v>
      </c>
      <c r="L55" s="39">
        <v>0.18394337714863498</v>
      </c>
      <c r="M55" s="3"/>
      <c r="N55" s="3"/>
      <c r="O55" s="3"/>
      <c r="P55" s="3"/>
      <c r="Q55" s="3"/>
      <c r="R55" s="3"/>
      <c r="S55" s="3"/>
    </row>
    <row r="56" spans="1:19" ht="14.25" customHeight="1" thickBot="1">
      <c r="A56" s="4">
        <v>40555</v>
      </c>
      <c r="B56" s="5" t="s">
        <v>20</v>
      </c>
      <c r="C56" s="5" t="s">
        <v>22</v>
      </c>
      <c r="D56" s="5" t="s">
        <v>21</v>
      </c>
      <c r="E56" s="5" t="s">
        <v>35</v>
      </c>
      <c r="F56" s="6">
        <v>19</v>
      </c>
      <c r="G56" s="6">
        <v>399</v>
      </c>
      <c r="H56" s="6">
        <v>176</v>
      </c>
      <c r="I56" s="3"/>
      <c r="J56" s="36" t="s">
        <v>26</v>
      </c>
      <c r="K56" s="38">
        <v>356.1764705882353</v>
      </c>
      <c r="L56" s="39">
        <v>0.24489383215369059</v>
      </c>
      <c r="M56" s="3"/>
      <c r="N56" s="3"/>
      <c r="O56" s="3"/>
      <c r="P56" s="3"/>
      <c r="Q56" s="3"/>
      <c r="R56" s="3"/>
      <c r="S56" s="3"/>
    </row>
    <row r="57" spans="1:19" ht="14.25" customHeight="1" thickBot="1">
      <c r="A57" s="4">
        <v>40557</v>
      </c>
      <c r="B57" s="5" t="s">
        <v>8</v>
      </c>
      <c r="C57" s="5" t="s">
        <v>9</v>
      </c>
      <c r="D57" s="5" t="s">
        <v>15</v>
      </c>
      <c r="E57" s="5" t="s">
        <v>36</v>
      </c>
      <c r="F57" s="6">
        <v>34</v>
      </c>
      <c r="G57" s="6">
        <v>782</v>
      </c>
      <c r="H57" s="6">
        <v>374</v>
      </c>
      <c r="I57" s="3"/>
      <c r="J57" s="36" t="s">
        <v>19</v>
      </c>
      <c r="K57" s="38">
        <v>397.25806451612902</v>
      </c>
      <c r="L57" s="39">
        <v>0.24903943377148635</v>
      </c>
      <c r="M57" s="3"/>
      <c r="N57" s="3"/>
      <c r="O57" s="3"/>
      <c r="P57" s="3"/>
      <c r="Q57" s="3"/>
      <c r="R57" s="3"/>
      <c r="S57" s="3"/>
    </row>
    <row r="58" spans="1:19" ht="14.25" customHeight="1" thickBot="1">
      <c r="A58" s="4">
        <v>40568</v>
      </c>
      <c r="B58" s="5" t="s">
        <v>14</v>
      </c>
      <c r="C58" s="5" t="s">
        <v>22</v>
      </c>
      <c r="D58" s="5" t="s">
        <v>15</v>
      </c>
      <c r="E58" s="5" t="s">
        <v>36</v>
      </c>
      <c r="F58" s="6">
        <v>21</v>
      </c>
      <c r="G58" s="6">
        <v>399</v>
      </c>
      <c r="H58" s="6">
        <v>168</v>
      </c>
      <c r="I58" s="3"/>
      <c r="J58" s="36" t="s">
        <v>261</v>
      </c>
      <c r="K58" s="38">
        <v>366.2962962962963</v>
      </c>
      <c r="L58" s="39">
        <v>1</v>
      </c>
      <c r="M58" s="3"/>
      <c r="N58" s="3"/>
      <c r="O58" s="3"/>
      <c r="P58" s="3"/>
      <c r="Q58" s="3"/>
      <c r="R58" s="3"/>
      <c r="S58" s="3"/>
    </row>
    <row r="59" spans="1:19" ht="14.25" customHeight="1" thickBot="1">
      <c r="A59" s="4">
        <v>40545</v>
      </c>
      <c r="B59" s="5" t="s">
        <v>16</v>
      </c>
      <c r="C59" s="5" t="s">
        <v>26</v>
      </c>
      <c r="D59" s="5" t="s">
        <v>21</v>
      </c>
      <c r="E59" s="5" t="s">
        <v>37</v>
      </c>
      <c r="F59" s="6">
        <v>24</v>
      </c>
      <c r="G59" s="6">
        <v>528</v>
      </c>
      <c r="H59" s="6">
        <v>240</v>
      </c>
      <c r="I59" s="3"/>
      <c r="L59" s="3"/>
      <c r="M59" s="3"/>
      <c r="N59" s="3"/>
      <c r="O59" s="3"/>
      <c r="P59" s="3"/>
      <c r="Q59" s="3"/>
      <c r="R59" s="3"/>
      <c r="S59" s="3"/>
    </row>
    <row r="60" spans="1:19" ht="14.25" customHeight="1" thickBot="1">
      <c r="A60" s="4">
        <v>40590</v>
      </c>
      <c r="B60" s="5" t="s">
        <v>16</v>
      </c>
      <c r="C60" s="5" t="s">
        <v>26</v>
      </c>
      <c r="D60" s="5" t="s">
        <v>21</v>
      </c>
      <c r="E60" s="5" t="s">
        <v>37</v>
      </c>
      <c r="F60" s="6">
        <v>24</v>
      </c>
      <c r="G60" s="6">
        <v>528</v>
      </c>
      <c r="H60" s="6">
        <v>240</v>
      </c>
      <c r="I60" s="3"/>
      <c r="L60" s="3"/>
      <c r="M60" s="3"/>
      <c r="N60" s="3"/>
      <c r="O60" s="3"/>
      <c r="P60" s="3"/>
      <c r="Q60" s="3"/>
      <c r="R60" s="3"/>
      <c r="S60" s="3"/>
    </row>
    <row r="61" spans="1:19" ht="14.25" customHeight="1" thickBot="1">
      <c r="A61" s="4">
        <v>40565</v>
      </c>
      <c r="B61" s="5" t="s">
        <v>8</v>
      </c>
      <c r="C61" s="5" t="s">
        <v>26</v>
      </c>
      <c r="D61" s="5" t="s">
        <v>24</v>
      </c>
      <c r="E61" s="5" t="s">
        <v>37</v>
      </c>
      <c r="F61" s="6">
        <v>29</v>
      </c>
      <c r="G61" s="6">
        <v>667</v>
      </c>
      <c r="H61" s="6">
        <v>319</v>
      </c>
      <c r="I61" s="3"/>
      <c r="L61" s="3"/>
      <c r="M61" s="3"/>
      <c r="N61" s="3"/>
      <c r="O61" s="3"/>
      <c r="P61" s="3"/>
      <c r="Q61" s="3"/>
      <c r="R61" s="3"/>
      <c r="S61" s="3"/>
    </row>
    <row r="62" spans="1:19" ht="14.25" customHeight="1" thickBot="1">
      <c r="A62" s="4">
        <v>40571</v>
      </c>
      <c r="B62" s="5" t="s">
        <v>12</v>
      </c>
      <c r="C62" s="5" t="s">
        <v>26</v>
      </c>
      <c r="D62" s="5" t="s">
        <v>21</v>
      </c>
      <c r="E62" s="5" t="s">
        <v>37</v>
      </c>
      <c r="F62" s="6">
        <v>56</v>
      </c>
      <c r="G62" s="7">
        <v>1512</v>
      </c>
      <c r="H62" s="6">
        <v>812</v>
      </c>
      <c r="I62" s="3"/>
      <c r="L62" s="3"/>
      <c r="M62" s="3"/>
      <c r="N62" s="3"/>
      <c r="O62" s="3"/>
      <c r="P62" s="3"/>
      <c r="Q62" s="3"/>
      <c r="R62" s="3"/>
      <c r="S62" s="3"/>
    </row>
    <row r="63" spans="1:19" ht="14.25" customHeight="1" thickBot="1">
      <c r="A63" s="4">
        <v>40616</v>
      </c>
      <c r="B63" s="5" t="s">
        <v>12</v>
      </c>
      <c r="C63" s="5" t="s">
        <v>26</v>
      </c>
      <c r="D63" s="5" t="s">
        <v>21</v>
      </c>
      <c r="E63" s="5" t="s">
        <v>37</v>
      </c>
      <c r="F63" s="6">
        <v>56</v>
      </c>
      <c r="G63" s="7">
        <v>1512</v>
      </c>
      <c r="H63" s="6">
        <v>812</v>
      </c>
      <c r="I63" s="3"/>
      <c r="J63">
        <v>3</v>
      </c>
      <c r="K63">
        <v>3</v>
      </c>
      <c r="L63" s="3"/>
      <c r="M63" s="3"/>
      <c r="N63" s="3"/>
      <c r="O63" s="3"/>
      <c r="P63" s="34"/>
      <c r="Q63" s="34"/>
      <c r="R63" s="3"/>
      <c r="S63" s="3"/>
    </row>
    <row r="64" spans="1:19" ht="14.25" customHeight="1" thickBot="1">
      <c r="A64" s="4">
        <v>40553</v>
      </c>
      <c r="B64" s="5" t="s">
        <v>12</v>
      </c>
      <c r="C64" s="5" t="s">
        <v>19</v>
      </c>
      <c r="D64" s="5" t="s">
        <v>24</v>
      </c>
      <c r="E64" s="5" t="s">
        <v>37</v>
      </c>
      <c r="F64" s="6">
        <v>65</v>
      </c>
      <c r="G64" s="7">
        <v>1755</v>
      </c>
      <c r="H64" s="6">
        <v>943</v>
      </c>
      <c r="I64" s="3"/>
      <c r="J64" s="35" t="s">
        <v>260</v>
      </c>
      <c r="K64" t="s">
        <v>262</v>
      </c>
      <c r="L64" t="s">
        <v>264</v>
      </c>
      <c r="P64" s="34"/>
      <c r="Q64" s="34"/>
      <c r="R64" s="34"/>
    </row>
    <row r="65" spans="1:18" ht="14.25" customHeight="1" thickBot="1">
      <c r="A65" s="4">
        <v>40569</v>
      </c>
      <c r="B65" s="5" t="s">
        <v>16</v>
      </c>
      <c r="C65" s="5" t="s">
        <v>9</v>
      </c>
      <c r="D65" s="5" t="s">
        <v>17</v>
      </c>
      <c r="E65" s="5" t="s">
        <v>38</v>
      </c>
      <c r="F65" s="6">
        <v>17</v>
      </c>
      <c r="G65" s="6">
        <v>374</v>
      </c>
      <c r="H65" s="6">
        <v>170</v>
      </c>
      <c r="I65" s="3"/>
      <c r="J65" s="36" t="s">
        <v>38</v>
      </c>
      <c r="K65" s="38">
        <v>788</v>
      </c>
      <c r="L65" s="38">
        <v>368</v>
      </c>
      <c r="P65" s="36"/>
      <c r="Q65" s="38"/>
      <c r="R65" s="38"/>
    </row>
    <row r="66" spans="1:18" ht="14.25" customHeight="1" thickBot="1">
      <c r="A66" s="4">
        <v>40549</v>
      </c>
      <c r="B66" s="5" t="s">
        <v>8</v>
      </c>
      <c r="C66" s="5" t="s">
        <v>19</v>
      </c>
      <c r="D66" s="5" t="s">
        <v>13</v>
      </c>
      <c r="E66" s="5" t="s">
        <v>38</v>
      </c>
      <c r="F66" s="6">
        <v>18</v>
      </c>
      <c r="G66" s="6">
        <v>414</v>
      </c>
      <c r="H66" s="6">
        <v>198</v>
      </c>
      <c r="I66" s="3"/>
      <c r="J66" s="36" t="s">
        <v>39</v>
      </c>
      <c r="K66" s="38">
        <v>345</v>
      </c>
      <c r="L66" s="38">
        <v>165</v>
      </c>
      <c r="P66" s="36"/>
      <c r="Q66" s="38"/>
      <c r="R66" s="38"/>
    </row>
    <row r="67" spans="1:18" ht="14.25" customHeight="1" thickBot="1">
      <c r="A67" s="4">
        <v>40571</v>
      </c>
      <c r="B67" s="5" t="s">
        <v>8</v>
      </c>
      <c r="C67" s="5" t="s">
        <v>19</v>
      </c>
      <c r="D67" s="5" t="s">
        <v>24</v>
      </c>
      <c r="E67" s="5" t="s">
        <v>39</v>
      </c>
      <c r="F67" s="6">
        <v>15</v>
      </c>
      <c r="G67" s="6">
        <v>345</v>
      </c>
      <c r="H67" s="6">
        <v>165</v>
      </c>
      <c r="I67" s="3"/>
      <c r="J67" s="36" t="s">
        <v>53</v>
      </c>
      <c r="K67" s="38">
        <v>756</v>
      </c>
      <c r="L67" s="38">
        <v>333</v>
      </c>
      <c r="P67" s="36"/>
      <c r="Q67" s="38"/>
      <c r="R67" s="38"/>
    </row>
    <row r="68" spans="1:18" ht="14.25" customHeight="1" thickBot="1">
      <c r="A68" s="4">
        <v>40553</v>
      </c>
      <c r="B68" s="5" t="s">
        <v>20</v>
      </c>
      <c r="C68" s="5" t="s">
        <v>9</v>
      </c>
      <c r="D68" s="5" t="s">
        <v>24</v>
      </c>
      <c r="E68" s="5" t="s">
        <v>40</v>
      </c>
      <c r="F68" s="6">
        <v>17</v>
      </c>
      <c r="G68" s="6">
        <v>357</v>
      </c>
      <c r="H68" s="6">
        <v>157</v>
      </c>
      <c r="I68" s="3"/>
      <c r="J68" s="36" t="s">
        <v>261</v>
      </c>
      <c r="K68" s="38">
        <v>1889</v>
      </c>
      <c r="L68" s="38">
        <v>866</v>
      </c>
      <c r="P68" s="36"/>
      <c r="Q68" s="38"/>
      <c r="R68" s="38"/>
    </row>
    <row r="69" spans="1:18" ht="14.25" customHeight="1" thickBot="1">
      <c r="A69" s="4">
        <v>40553</v>
      </c>
      <c r="B69" s="5" t="s">
        <v>20</v>
      </c>
      <c r="C69" s="5" t="s">
        <v>26</v>
      </c>
      <c r="D69" s="5" t="s">
        <v>13</v>
      </c>
      <c r="E69" s="5" t="s">
        <v>40</v>
      </c>
      <c r="F69" s="6">
        <v>47</v>
      </c>
      <c r="G69" s="6">
        <v>987</v>
      </c>
      <c r="H69" s="6">
        <v>435</v>
      </c>
      <c r="I69" s="3"/>
      <c r="P69" s="36"/>
      <c r="Q69" s="38"/>
      <c r="R69" s="38"/>
    </row>
    <row r="70" spans="1:18" ht="14.25" customHeight="1" thickBot="1">
      <c r="A70" s="4">
        <v>40598</v>
      </c>
      <c r="B70" s="5" t="s">
        <v>20</v>
      </c>
      <c r="C70" s="5" t="s">
        <v>26</v>
      </c>
      <c r="D70" s="5" t="s">
        <v>13</v>
      </c>
      <c r="E70" s="5" t="s">
        <v>40</v>
      </c>
      <c r="F70" s="6">
        <v>47</v>
      </c>
      <c r="G70" s="6">
        <v>987</v>
      </c>
      <c r="H70" s="6">
        <v>435</v>
      </c>
      <c r="I70" s="3"/>
      <c r="J70" s="41">
        <v>4</v>
      </c>
      <c r="K70" s="43">
        <v>4</v>
      </c>
      <c r="P70" s="36"/>
      <c r="Q70" s="38"/>
      <c r="R70" s="38"/>
    </row>
    <row r="71" spans="1:18" ht="14.25" customHeight="1" thickBot="1">
      <c r="A71" s="4">
        <v>40571</v>
      </c>
      <c r="B71" s="5" t="s">
        <v>8</v>
      </c>
      <c r="C71" s="5" t="s">
        <v>26</v>
      </c>
      <c r="D71" s="5" t="s">
        <v>15</v>
      </c>
      <c r="E71" s="5" t="s">
        <v>41</v>
      </c>
      <c r="F71" s="6">
        <v>46</v>
      </c>
      <c r="G71" s="7">
        <v>1058</v>
      </c>
      <c r="H71" s="6">
        <v>506</v>
      </c>
      <c r="I71" s="3"/>
      <c r="K71" s="35" t="s">
        <v>266</v>
      </c>
      <c r="P71" s="36"/>
      <c r="Q71" s="38"/>
      <c r="R71" s="38"/>
    </row>
    <row r="72" spans="1:18" ht="14.25" customHeight="1" thickBot="1">
      <c r="A72" s="4">
        <v>40561</v>
      </c>
      <c r="B72" s="5" t="s">
        <v>20</v>
      </c>
      <c r="C72" s="5" t="s">
        <v>9</v>
      </c>
      <c r="D72" s="5" t="s">
        <v>21</v>
      </c>
      <c r="E72" s="5" t="s">
        <v>41</v>
      </c>
      <c r="F72" s="6">
        <v>12</v>
      </c>
      <c r="G72" s="6">
        <v>252</v>
      </c>
      <c r="H72" s="6">
        <v>111</v>
      </c>
      <c r="I72" s="3"/>
      <c r="J72" s="35" t="s">
        <v>260</v>
      </c>
      <c r="K72" t="s">
        <v>9</v>
      </c>
      <c r="L72" t="s">
        <v>261</v>
      </c>
      <c r="P72" s="36"/>
      <c r="Q72" s="38"/>
      <c r="R72" s="38"/>
    </row>
    <row r="73" spans="1:18" ht="14.25" customHeight="1" thickBot="1">
      <c r="A73" s="4">
        <v>40560</v>
      </c>
      <c r="B73" s="5" t="s">
        <v>16</v>
      </c>
      <c r="C73" s="5" t="s">
        <v>22</v>
      </c>
      <c r="D73" s="5" t="s">
        <v>24</v>
      </c>
      <c r="E73" s="5" t="s">
        <v>42</v>
      </c>
      <c r="F73" s="6">
        <v>16</v>
      </c>
      <c r="G73" s="6">
        <v>352</v>
      </c>
      <c r="H73" s="6">
        <v>160</v>
      </c>
      <c r="I73" s="3"/>
      <c r="J73" s="36" t="s">
        <v>179</v>
      </c>
      <c r="P73" s="36"/>
      <c r="Q73" s="38"/>
      <c r="R73" s="38"/>
    </row>
    <row r="74" spans="1:18" ht="14.25" customHeight="1" thickBot="1">
      <c r="A74" s="4">
        <v>40560</v>
      </c>
      <c r="B74" s="5" t="s">
        <v>8</v>
      </c>
      <c r="C74" s="5" t="s">
        <v>9</v>
      </c>
      <c r="D74" s="5" t="s">
        <v>13</v>
      </c>
      <c r="E74" s="5" t="s">
        <v>42</v>
      </c>
      <c r="F74" s="6">
        <v>39</v>
      </c>
      <c r="G74" s="6">
        <v>897</v>
      </c>
      <c r="H74" s="6">
        <v>429</v>
      </c>
      <c r="I74" s="3"/>
      <c r="J74" s="36" t="s">
        <v>18</v>
      </c>
      <c r="P74" s="36"/>
      <c r="Q74" s="38"/>
      <c r="R74" s="38"/>
    </row>
    <row r="75" spans="1:18" ht="14.25" customHeight="1" thickBot="1">
      <c r="A75" s="4">
        <v>40605</v>
      </c>
      <c r="B75" s="5" t="s">
        <v>8</v>
      </c>
      <c r="C75" s="5" t="s">
        <v>9</v>
      </c>
      <c r="D75" s="5" t="s">
        <v>13</v>
      </c>
      <c r="E75" s="5" t="s">
        <v>42</v>
      </c>
      <c r="F75" s="6">
        <v>39</v>
      </c>
      <c r="G75" s="6">
        <v>897</v>
      </c>
      <c r="H75" s="6">
        <v>429</v>
      </c>
      <c r="I75" s="3"/>
      <c r="J75" s="36" t="s">
        <v>23</v>
      </c>
      <c r="P75" s="36"/>
      <c r="Q75" s="38"/>
      <c r="R75" s="38"/>
    </row>
    <row r="76" spans="1:18" ht="14.25" customHeight="1" thickBot="1">
      <c r="A76" s="4">
        <v>40566</v>
      </c>
      <c r="B76" s="5" t="s">
        <v>12</v>
      </c>
      <c r="C76" s="5" t="s">
        <v>9</v>
      </c>
      <c r="D76" s="5" t="s">
        <v>15</v>
      </c>
      <c r="E76" s="5" t="s">
        <v>42</v>
      </c>
      <c r="F76" s="6">
        <v>44</v>
      </c>
      <c r="G76" s="7">
        <v>1188</v>
      </c>
      <c r="H76" s="6">
        <v>638</v>
      </c>
      <c r="I76" s="3"/>
      <c r="J76" s="36" t="s">
        <v>25</v>
      </c>
      <c r="P76" s="36"/>
      <c r="Q76" s="38"/>
      <c r="R76" s="38"/>
    </row>
    <row r="77" spans="1:18" ht="14.25" customHeight="1" thickBot="1">
      <c r="A77" s="4">
        <v>40560</v>
      </c>
      <c r="B77" s="5" t="s">
        <v>12</v>
      </c>
      <c r="C77" s="5" t="s">
        <v>19</v>
      </c>
      <c r="D77" s="5" t="s">
        <v>17</v>
      </c>
      <c r="E77" s="5" t="s">
        <v>42</v>
      </c>
      <c r="F77" s="6">
        <v>10</v>
      </c>
      <c r="G77" s="6">
        <v>270</v>
      </c>
      <c r="H77" s="6">
        <v>145</v>
      </c>
      <c r="I77" s="3"/>
      <c r="J77" s="36" t="s">
        <v>27</v>
      </c>
      <c r="P77" s="36"/>
      <c r="Q77" s="38"/>
      <c r="R77" s="38"/>
    </row>
    <row r="78" spans="1:18" ht="14.25" customHeight="1" thickBot="1">
      <c r="A78" s="4">
        <v>40605</v>
      </c>
      <c r="B78" s="5" t="s">
        <v>12</v>
      </c>
      <c r="C78" s="5" t="s">
        <v>19</v>
      </c>
      <c r="D78" s="5" t="s">
        <v>17</v>
      </c>
      <c r="E78" s="5" t="s">
        <v>42</v>
      </c>
      <c r="F78" s="6">
        <v>10</v>
      </c>
      <c r="G78" s="6">
        <v>270</v>
      </c>
      <c r="H78" s="6">
        <v>145</v>
      </c>
      <c r="I78" s="3"/>
      <c r="J78" s="36" t="s">
        <v>28</v>
      </c>
      <c r="P78" s="36"/>
      <c r="Q78" s="38"/>
      <c r="R78" s="38"/>
    </row>
    <row r="79" spans="1:18" ht="14.25" customHeight="1" thickBot="1">
      <c r="A79" s="4">
        <v>40549</v>
      </c>
      <c r="B79" s="5" t="s">
        <v>12</v>
      </c>
      <c r="C79" s="5" t="s">
        <v>19</v>
      </c>
      <c r="D79" s="5" t="s">
        <v>13</v>
      </c>
      <c r="E79" s="5" t="s">
        <v>42</v>
      </c>
      <c r="F79" s="6">
        <v>64</v>
      </c>
      <c r="G79" s="7">
        <v>1728</v>
      </c>
      <c r="H79" s="6">
        <v>928</v>
      </c>
      <c r="I79" s="3"/>
      <c r="J79" s="36" t="s">
        <v>29</v>
      </c>
      <c r="P79" s="36"/>
      <c r="Q79" s="38"/>
      <c r="R79" s="38"/>
    </row>
    <row r="80" spans="1:18" ht="14.25" customHeight="1" thickBot="1">
      <c r="A80" s="4">
        <v>40550</v>
      </c>
      <c r="B80" s="5" t="s">
        <v>20</v>
      </c>
      <c r="C80" s="5" t="s">
        <v>22</v>
      </c>
      <c r="D80" s="5" t="s">
        <v>13</v>
      </c>
      <c r="E80" s="5" t="s">
        <v>42</v>
      </c>
      <c r="F80" s="6">
        <v>22</v>
      </c>
      <c r="G80" s="6">
        <v>462</v>
      </c>
      <c r="H80" s="6">
        <v>204</v>
      </c>
      <c r="I80" s="3"/>
      <c r="J80" s="36" t="s">
        <v>30</v>
      </c>
      <c r="P80" s="36"/>
      <c r="Q80" s="38"/>
      <c r="R80" s="38"/>
    </row>
    <row r="81" spans="1:18" ht="14.25" customHeight="1" thickBot="1">
      <c r="A81" s="4">
        <v>40552</v>
      </c>
      <c r="B81" s="5" t="s">
        <v>14</v>
      </c>
      <c r="C81" s="5" t="s">
        <v>9</v>
      </c>
      <c r="D81" s="5" t="s">
        <v>24</v>
      </c>
      <c r="E81" s="5" t="s">
        <v>42</v>
      </c>
      <c r="F81" s="6">
        <v>42</v>
      </c>
      <c r="G81" s="6">
        <v>798</v>
      </c>
      <c r="H81" s="6">
        <v>336</v>
      </c>
      <c r="I81" s="3"/>
      <c r="J81" s="36" t="s">
        <v>33</v>
      </c>
      <c r="P81" s="36"/>
      <c r="Q81" s="38"/>
      <c r="R81" s="38"/>
    </row>
    <row r="82" spans="1:18" ht="14.25" customHeight="1" thickBot="1">
      <c r="A82" s="4">
        <v>40561</v>
      </c>
      <c r="B82" s="5" t="s">
        <v>14</v>
      </c>
      <c r="C82" s="5" t="s">
        <v>22</v>
      </c>
      <c r="D82" s="5" t="s">
        <v>17</v>
      </c>
      <c r="E82" s="5" t="s">
        <v>42</v>
      </c>
      <c r="F82" s="6">
        <v>62</v>
      </c>
      <c r="G82" s="7">
        <v>1178</v>
      </c>
      <c r="H82" s="6">
        <v>496</v>
      </c>
      <c r="I82" s="3"/>
      <c r="J82" s="36" t="s">
        <v>35</v>
      </c>
      <c r="P82" s="36"/>
      <c r="Q82" s="38"/>
      <c r="R82" s="38"/>
    </row>
    <row r="83" spans="1:18" ht="14.25" customHeight="1" thickBot="1">
      <c r="A83" s="4">
        <v>40606</v>
      </c>
      <c r="B83" s="5" t="s">
        <v>14</v>
      </c>
      <c r="C83" s="5" t="s">
        <v>22</v>
      </c>
      <c r="D83" s="5" t="s">
        <v>17</v>
      </c>
      <c r="E83" s="5" t="s">
        <v>42</v>
      </c>
      <c r="F83" s="6">
        <v>62</v>
      </c>
      <c r="G83" s="7">
        <v>1178</v>
      </c>
      <c r="H83" s="6">
        <v>496</v>
      </c>
      <c r="I83" s="3"/>
      <c r="J83" s="36" t="s">
        <v>36</v>
      </c>
      <c r="P83" s="36"/>
      <c r="Q83" s="38"/>
      <c r="R83" s="38"/>
    </row>
    <row r="84" spans="1:18" ht="14.25" customHeight="1" thickBot="1">
      <c r="A84" s="4">
        <v>40546</v>
      </c>
      <c r="B84" s="5" t="s">
        <v>14</v>
      </c>
      <c r="C84" s="5" t="s">
        <v>26</v>
      </c>
      <c r="D84" s="5" t="s">
        <v>13</v>
      </c>
      <c r="E84" s="5" t="s">
        <v>42</v>
      </c>
      <c r="F84" s="6">
        <v>6</v>
      </c>
      <c r="G84" s="6">
        <v>114</v>
      </c>
      <c r="H84" s="6">
        <v>48</v>
      </c>
      <c r="I84" s="3"/>
      <c r="J84" s="36" t="s">
        <v>38</v>
      </c>
      <c r="P84" s="36"/>
      <c r="Q84" s="38"/>
      <c r="R84" s="38"/>
    </row>
    <row r="85" spans="1:18" ht="14.25" customHeight="1" thickBot="1">
      <c r="A85" s="4">
        <v>40576</v>
      </c>
      <c r="B85" s="5" t="s">
        <v>14</v>
      </c>
      <c r="C85" s="5" t="s">
        <v>26</v>
      </c>
      <c r="D85" s="5" t="s">
        <v>13</v>
      </c>
      <c r="E85" s="5" t="s">
        <v>42</v>
      </c>
      <c r="F85" s="6">
        <v>6</v>
      </c>
      <c r="G85" s="6">
        <v>114</v>
      </c>
      <c r="H85" s="6">
        <v>48</v>
      </c>
      <c r="I85" s="3"/>
      <c r="J85" s="36" t="s">
        <v>40</v>
      </c>
      <c r="P85" s="36"/>
      <c r="Q85" s="38"/>
      <c r="R85" s="38"/>
    </row>
    <row r="86" spans="1:18" ht="14.25" customHeight="1" thickBot="1">
      <c r="A86" s="4">
        <v>40556</v>
      </c>
      <c r="B86" s="5" t="s">
        <v>16</v>
      </c>
      <c r="C86" s="5" t="s">
        <v>22</v>
      </c>
      <c r="D86" s="5" t="s">
        <v>10</v>
      </c>
      <c r="E86" s="5" t="s">
        <v>43</v>
      </c>
      <c r="F86" s="6">
        <v>57</v>
      </c>
      <c r="G86" s="7">
        <v>1254</v>
      </c>
      <c r="H86" s="6">
        <v>570</v>
      </c>
      <c r="I86" s="3"/>
      <c r="J86" s="36" t="s">
        <v>41</v>
      </c>
      <c r="P86" s="36"/>
      <c r="Q86" s="38"/>
      <c r="R86" s="38"/>
    </row>
    <row r="87" spans="1:18" ht="14.25" customHeight="1" thickBot="1">
      <c r="A87" s="4">
        <v>40572</v>
      </c>
      <c r="B87" s="5" t="s">
        <v>12</v>
      </c>
      <c r="C87" s="5" t="s">
        <v>22</v>
      </c>
      <c r="D87" s="5" t="s">
        <v>21</v>
      </c>
      <c r="E87" s="5" t="s">
        <v>43</v>
      </c>
      <c r="F87" s="6">
        <v>10</v>
      </c>
      <c r="G87" s="6">
        <v>270</v>
      </c>
      <c r="H87" s="6">
        <v>145</v>
      </c>
      <c r="I87" s="3"/>
      <c r="J87" s="36" t="s">
        <v>42</v>
      </c>
      <c r="P87" s="36"/>
      <c r="Q87" s="38"/>
      <c r="R87" s="38"/>
    </row>
    <row r="88" spans="1:18" ht="14.25" customHeight="1" thickBot="1">
      <c r="A88" s="4">
        <v>40561</v>
      </c>
      <c r="B88" s="5" t="s">
        <v>12</v>
      </c>
      <c r="C88" s="5" t="s">
        <v>22</v>
      </c>
      <c r="D88" s="5" t="s">
        <v>24</v>
      </c>
      <c r="E88" s="5" t="s">
        <v>43</v>
      </c>
      <c r="F88" s="6">
        <v>17</v>
      </c>
      <c r="G88" s="6">
        <v>459</v>
      </c>
      <c r="H88" s="6">
        <v>247</v>
      </c>
      <c r="I88" s="3"/>
      <c r="J88" s="36" t="s">
        <v>44</v>
      </c>
      <c r="P88" s="36"/>
      <c r="Q88" s="38"/>
      <c r="R88" s="38"/>
    </row>
    <row r="89" spans="1:18" ht="14.25" customHeight="1" thickBot="1">
      <c r="A89" s="4">
        <v>40563</v>
      </c>
      <c r="B89" s="5" t="s">
        <v>16</v>
      </c>
      <c r="C89" s="5" t="s">
        <v>9</v>
      </c>
      <c r="D89" s="5" t="s">
        <v>21</v>
      </c>
      <c r="E89" s="5" t="s">
        <v>44</v>
      </c>
      <c r="F89" s="6">
        <v>10</v>
      </c>
      <c r="G89" s="6">
        <v>220</v>
      </c>
      <c r="H89" s="6">
        <v>100</v>
      </c>
      <c r="I89" s="3"/>
      <c r="J89" s="36" t="s">
        <v>46</v>
      </c>
      <c r="P89" s="36"/>
      <c r="Q89" s="38"/>
      <c r="R89" s="38"/>
    </row>
    <row r="90" spans="1:18" ht="14.25" customHeight="1" thickBot="1">
      <c r="A90" s="4">
        <v>40569</v>
      </c>
      <c r="B90" s="5" t="s">
        <v>16</v>
      </c>
      <c r="C90" s="5" t="s">
        <v>22</v>
      </c>
      <c r="D90" s="5" t="s">
        <v>21</v>
      </c>
      <c r="E90" s="5" t="s">
        <v>44</v>
      </c>
      <c r="F90" s="6">
        <v>21</v>
      </c>
      <c r="G90" s="6">
        <v>462</v>
      </c>
      <c r="H90" s="6">
        <v>210</v>
      </c>
      <c r="I90" s="3"/>
      <c r="J90" s="36" t="s">
        <v>48</v>
      </c>
      <c r="P90" s="36"/>
      <c r="Q90" s="38"/>
      <c r="R90" s="38"/>
    </row>
    <row r="91" spans="1:18" ht="14.25" customHeight="1" thickBot="1">
      <c r="A91" s="4">
        <v>40599</v>
      </c>
      <c r="B91" s="5" t="s">
        <v>16</v>
      </c>
      <c r="C91" s="5" t="s">
        <v>22</v>
      </c>
      <c r="D91" s="5" t="s">
        <v>21</v>
      </c>
      <c r="E91" s="5" t="s">
        <v>44</v>
      </c>
      <c r="F91" s="6">
        <v>21</v>
      </c>
      <c r="G91" s="6">
        <v>462</v>
      </c>
      <c r="H91" s="6">
        <v>210</v>
      </c>
      <c r="I91" s="3"/>
      <c r="J91" s="36" t="s">
        <v>50</v>
      </c>
      <c r="P91" s="36"/>
      <c r="Q91" s="38"/>
      <c r="R91" s="38"/>
    </row>
    <row r="92" spans="1:18" ht="14.25" customHeight="1" thickBot="1">
      <c r="A92" s="4">
        <v>40556</v>
      </c>
      <c r="B92" s="5" t="s">
        <v>16</v>
      </c>
      <c r="C92" s="5" t="s">
        <v>22</v>
      </c>
      <c r="D92" s="5" t="s">
        <v>10</v>
      </c>
      <c r="E92" s="5" t="s">
        <v>44</v>
      </c>
      <c r="F92" s="6">
        <v>40</v>
      </c>
      <c r="G92" s="6">
        <v>880</v>
      </c>
      <c r="H92" s="6">
        <v>400</v>
      </c>
      <c r="I92" s="3"/>
      <c r="J92" s="36" t="s">
        <v>51</v>
      </c>
      <c r="P92" s="36"/>
      <c r="Q92" s="38"/>
      <c r="R92" s="38"/>
    </row>
    <row r="93" spans="1:18" ht="14.25" customHeight="1" thickBot="1">
      <c r="A93" s="4">
        <v>40549</v>
      </c>
      <c r="B93" s="5" t="s">
        <v>14</v>
      </c>
      <c r="C93" s="5" t="s">
        <v>9</v>
      </c>
      <c r="D93" s="5" t="s">
        <v>15</v>
      </c>
      <c r="E93" s="5" t="s">
        <v>44</v>
      </c>
      <c r="F93" s="6">
        <v>54</v>
      </c>
      <c r="G93" s="7">
        <v>1026</v>
      </c>
      <c r="H93" s="6">
        <v>432</v>
      </c>
      <c r="I93" s="3"/>
      <c r="J93" s="36" t="s">
        <v>53</v>
      </c>
      <c r="P93" s="36"/>
      <c r="Q93" s="38"/>
      <c r="R93" s="38"/>
    </row>
    <row r="94" spans="1:18" ht="14.25" customHeight="1" thickBot="1">
      <c r="A94" s="4">
        <v>40556</v>
      </c>
      <c r="B94" s="5" t="s">
        <v>14</v>
      </c>
      <c r="C94" s="5" t="s">
        <v>22</v>
      </c>
      <c r="D94" s="5" t="s">
        <v>10</v>
      </c>
      <c r="E94" s="5" t="s">
        <v>44</v>
      </c>
      <c r="F94" s="6">
        <v>33</v>
      </c>
      <c r="G94" s="6">
        <v>627</v>
      </c>
      <c r="H94" s="6">
        <v>264</v>
      </c>
      <c r="I94" s="3"/>
      <c r="J94" s="36" t="s">
        <v>261</v>
      </c>
    </row>
    <row r="95" spans="1:18" ht="14.25" customHeight="1" thickBot="1">
      <c r="A95" s="4">
        <v>40552</v>
      </c>
      <c r="B95" s="5" t="s">
        <v>16</v>
      </c>
      <c r="C95" s="5" t="s">
        <v>26</v>
      </c>
      <c r="D95" s="5" t="s">
        <v>13</v>
      </c>
      <c r="E95" s="5" t="s">
        <v>45</v>
      </c>
      <c r="F95" s="6">
        <v>15</v>
      </c>
      <c r="G95" s="6">
        <v>330</v>
      </c>
      <c r="H95" s="6">
        <v>150</v>
      </c>
      <c r="I95" s="3"/>
    </row>
    <row r="96" spans="1:18" ht="14.25" customHeight="1" thickBot="1">
      <c r="A96" s="4">
        <v>40571</v>
      </c>
      <c r="B96" s="5" t="s">
        <v>16</v>
      </c>
      <c r="C96" s="5" t="s">
        <v>26</v>
      </c>
      <c r="D96" s="5" t="s">
        <v>13</v>
      </c>
      <c r="E96" s="5" t="s">
        <v>45</v>
      </c>
      <c r="F96" s="6">
        <v>25</v>
      </c>
      <c r="G96" s="6">
        <v>550</v>
      </c>
      <c r="H96" s="6">
        <v>250</v>
      </c>
      <c r="I96" s="3"/>
      <c r="J96" s="41">
        <v>5</v>
      </c>
    </row>
    <row r="97" spans="1:13" ht="14.25" customHeight="1" thickBot="1">
      <c r="A97" s="4">
        <v>40616</v>
      </c>
      <c r="B97" s="5" t="s">
        <v>16</v>
      </c>
      <c r="C97" s="5" t="s">
        <v>26</v>
      </c>
      <c r="D97" s="5" t="s">
        <v>13</v>
      </c>
      <c r="E97" s="5" t="s">
        <v>45</v>
      </c>
      <c r="F97" s="6">
        <v>25</v>
      </c>
      <c r="G97" s="6">
        <v>550</v>
      </c>
      <c r="H97" s="6">
        <v>250</v>
      </c>
      <c r="I97" s="3"/>
      <c r="J97" s="35" t="s">
        <v>260</v>
      </c>
    </row>
    <row r="98" spans="1:13" ht="14.25" customHeight="1" thickBot="1">
      <c r="A98" s="4">
        <v>40559</v>
      </c>
      <c r="B98" s="5" t="s">
        <v>8</v>
      </c>
      <c r="C98" s="5" t="s">
        <v>26</v>
      </c>
      <c r="D98" s="5" t="s">
        <v>24</v>
      </c>
      <c r="E98" s="5" t="s">
        <v>45</v>
      </c>
      <c r="F98" s="6">
        <v>31</v>
      </c>
      <c r="G98" s="6">
        <v>713</v>
      </c>
      <c r="H98" s="6">
        <v>341</v>
      </c>
      <c r="I98" s="3"/>
      <c r="J98" s="36" t="s">
        <v>16</v>
      </c>
      <c r="L98" t="s">
        <v>298</v>
      </c>
      <c r="M98" t="s">
        <v>299</v>
      </c>
    </row>
    <row r="99" spans="1:13" ht="14.25" customHeight="1" thickBot="1">
      <c r="A99" s="4">
        <v>40570</v>
      </c>
      <c r="B99" s="5" t="s">
        <v>8</v>
      </c>
      <c r="C99" s="5" t="s">
        <v>19</v>
      </c>
      <c r="D99" s="5" t="s">
        <v>21</v>
      </c>
      <c r="E99" s="5" t="s">
        <v>45</v>
      </c>
      <c r="F99" s="6">
        <v>10</v>
      </c>
      <c r="G99" s="6">
        <v>230</v>
      </c>
      <c r="H99" s="6">
        <v>110</v>
      </c>
      <c r="I99" s="3"/>
      <c r="J99" s="36" t="s">
        <v>8</v>
      </c>
      <c r="L99" t="s">
        <v>300</v>
      </c>
      <c r="M99" t="s">
        <v>301</v>
      </c>
    </row>
    <row r="100" spans="1:13" ht="14.25" customHeight="1" thickBot="1">
      <c r="A100" s="4">
        <v>40564</v>
      </c>
      <c r="B100" s="5" t="s">
        <v>14</v>
      </c>
      <c r="C100" s="5" t="s">
        <v>22</v>
      </c>
      <c r="D100" s="5" t="s">
        <v>24</v>
      </c>
      <c r="E100" s="5" t="s">
        <v>45</v>
      </c>
      <c r="F100" s="6">
        <v>64</v>
      </c>
      <c r="G100" s="7">
        <v>1216</v>
      </c>
      <c r="H100" s="6">
        <v>512</v>
      </c>
      <c r="I100" s="3"/>
      <c r="J100" s="36" t="s">
        <v>12</v>
      </c>
      <c r="L100" t="s">
        <v>302</v>
      </c>
      <c r="M100" t="s">
        <v>303</v>
      </c>
    </row>
    <row r="101" spans="1:13" ht="14.25" customHeight="1" thickBot="1">
      <c r="A101" s="4">
        <v>40549</v>
      </c>
      <c r="B101" s="5" t="s">
        <v>14</v>
      </c>
      <c r="C101" s="5" t="s">
        <v>26</v>
      </c>
      <c r="D101" s="5" t="s">
        <v>24</v>
      </c>
      <c r="E101" s="5" t="s">
        <v>45</v>
      </c>
      <c r="F101" s="6">
        <v>40</v>
      </c>
      <c r="G101" s="6">
        <v>760</v>
      </c>
      <c r="H101" s="6">
        <v>320</v>
      </c>
      <c r="I101" s="3"/>
      <c r="J101" s="36" t="s">
        <v>20</v>
      </c>
      <c r="L101" t="s">
        <v>304</v>
      </c>
      <c r="M101" t="s">
        <v>305</v>
      </c>
    </row>
    <row r="102" spans="1:13" ht="14.25" customHeight="1" thickBot="1">
      <c r="A102" s="4">
        <v>40575</v>
      </c>
      <c r="B102" s="5" t="s">
        <v>16</v>
      </c>
      <c r="C102" s="5" t="s">
        <v>19</v>
      </c>
      <c r="D102" s="5" t="s">
        <v>10</v>
      </c>
      <c r="E102" s="5" t="s">
        <v>46</v>
      </c>
      <c r="F102" s="6">
        <v>19</v>
      </c>
      <c r="G102" s="6">
        <v>418</v>
      </c>
      <c r="H102" s="6">
        <v>190</v>
      </c>
      <c r="I102" s="3"/>
      <c r="J102" s="36" t="s">
        <v>14</v>
      </c>
      <c r="L102" t="s">
        <v>304</v>
      </c>
      <c r="M102" t="s">
        <v>306</v>
      </c>
    </row>
    <row r="103" spans="1:13" ht="14.25" customHeight="1" thickBot="1">
      <c r="A103" s="4">
        <v>40560</v>
      </c>
      <c r="B103" s="5" t="s">
        <v>12</v>
      </c>
      <c r="C103" s="5" t="s">
        <v>9</v>
      </c>
      <c r="D103" s="5" t="s">
        <v>21</v>
      </c>
      <c r="E103" s="5" t="s">
        <v>46</v>
      </c>
      <c r="F103" s="6">
        <v>43</v>
      </c>
      <c r="G103" s="7">
        <v>1161</v>
      </c>
      <c r="H103" s="6">
        <v>624</v>
      </c>
      <c r="I103" s="3"/>
      <c r="J103" s="36" t="s">
        <v>261</v>
      </c>
    </row>
    <row r="104" spans="1:13" ht="14.25" customHeight="1" thickBot="1">
      <c r="A104" s="4">
        <v>40590</v>
      </c>
      <c r="B104" s="5" t="s">
        <v>12</v>
      </c>
      <c r="C104" s="5" t="s">
        <v>9</v>
      </c>
      <c r="D104" s="5" t="s">
        <v>21</v>
      </c>
      <c r="E104" s="5" t="s">
        <v>46</v>
      </c>
      <c r="F104" s="6">
        <v>43</v>
      </c>
      <c r="G104" s="7">
        <v>1161</v>
      </c>
      <c r="H104" s="6">
        <v>624</v>
      </c>
      <c r="I104" s="3"/>
    </row>
    <row r="105" spans="1:13" ht="14.25" customHeight="1" thickBot="1">
      <c r="A105" s="4">
        <v>40562</v>
      </c>
      <c r="B105" s="5" t="s">
        <v>16</v>
      </c>
      <c r="C105" s="5" t="s">
        <v>26</v>
      </c>
      <c r="D105" s="5" t="s">
        <v>13</v>
      </c>
      <c r="E105" s="5" t="s">
        <v>47</v>
      </c>
      <c r="F105" s="6">
        <v>35</v>
      </c>
      <c r="G105" s="6">
        <v>770</v>
      </c>
      <c r="H105" s="6">
        <v>350</v>
      </c>
      <c r="I105" s="3"/>
      <c r="J105" s="41">
        <v>6</v>
      </c>
    </row>
    <row r="106" spans="1:13" ht="14.25" customHeight="1" thickBot="1">
      <c r="A106" s="4">
        <v>40550</v>
      </c>
      <c r="B106" s="5" t="s">
        <v>16</v>
      </c>
      <c r="C106" s="5" t="s">
        <v>19</v>
      </c>
      <c r="D106" s="5" t="s">
        <v>24</v>
      </c>
      <c r="E106" s="5" t="s">
        <v>47</v>
      </c>
      <c r="F106" s="6">
        <v>27</v>
      </c>
      <c r="G106" s="6">
        <v>594</v>
      </c>
      <c r="H106" s="6">
        <v>270</v>
      </c>
      <c r="I106" s="3"/>
      <c r="J106" s="35" t="s">
        <v>260</v>
      </c>
    </row>
    <row r="107" spans="1:13" ht="14.25" customHeight="1" thickBot="1">
      <c r="A107" s="4">
        <v>40550</v>
      </c>
      <c r="B107" s="5" t="s">
        <v>20</v>
      </c>
      <c r="C107" s="5" t="s">
        <v>19</v>
      </c>
      <c r="D107" s="5" t="s">
        <v>10</v>
      </c>
      <c r="E107" s="5" t="s">
        <v>47</v>
      </c>
      <c r="F107" s="6">
        <v>61</v>
      </c>
      <c r="G107" s="7">
        <v>1281</v>
      </c>
      <c r="H107" s="6">
        <v>564</v>
      </c>
      <c r="I107" s="3"/>
      <c r="J107" s="36" t="s">
        <v>179</v>
      </c>
    </row>
    <row r="108" spans="1:13" ht="14.25" customHeight="1" thickBot="1">
      <c r="A108" s="4">
        <v>40580</v>
      </c>
      <c r="B108" s="5" t="s">
        <v>20</v>
      </c>
      <c r="C108" s="5" t="s">
        <v>19</v>
      </c>
      <c r="D108" s="5" t="s">
        <v>10</v>
      </c>
      <c r="E108" s="5" t="s">
        <v>47</v>
      </c>
      <c r="F108" s="6">
        <v>61</v>
      </c>
      <c r="G108" s="7">
        <v>1281</v>
      </c>
      <c r="H108" s="6">
        <v>564</v>
      </c>
      <c r="I108" s="3"/>
      <c r="J108" s="37">
        <v>24</v>
      </c>
    </row>
    <row r="109" spans="1:13" ht="14.25" customHeight="1" thickBot="1">
      <c r="A109" s="4">
        <v>40566</v>
      </c>
      <c r="B109" s="5" t="s">
        <v>14</v>
      </c>
      <c r="C109" s="5" t="s">
        <v>26</v>
      </c>
      <c r="D109" s="5" t="s">
        <v>17</v>
      </c>
      <c r="E109" s="5" t="s">
        <v>47</v>
      </c>
      <c r="F109" s="6">
        <v>49</v>
      </c>
      <c r="G109" s="6">
        <v>931</v>
      </c>
      <c r="H109" s="6">
        <v>392</v>
      </c>
      <c r="I109" s="3"/>
      <c r="J109" s="36" t="s">
        <v>18</v>
      </c>
    </row>
    <row r="110" spans="1:13" ht="14.25" customHeight="1" thickBot="1">
      <c r="A110" s="4">
        <v>40564</v>
      </c>
      <c r="B110" s="5" t="s">
        <v>16</v>
      </c>
      <c r="C110" s="5" t="s">
        <v>26</v>
      </c>
      <c r="D110" s="5" t="s">
        <v>24</v>
      </c>
      <c r="E110" s="5" t="s">
        <v>48</v>
      </c>
      <c r="F110" s="6">
        <v>11</v>
      </c>
      <c r="G110" s="6">
        <v>242</v>
      </c>
      <c r="H110" s="6">
        <v>110</v>
      </c>
      <c r="I110" s="3"/>
      <c r="J110" s="37">
        <v>30</v>
      </c>
    </row>
    <row r="111" spans="1:13" ht="14.25" customHeight="1" thickBot="1">
      <c r="A111" s="4">
        <v>40553</v>
      </c>
      <c r="B111" s="5" t="s">
        <v>20</v>
      </c>
      <c r="C111" s="5" t="s">
        <v>9</v>
      </c>
      <c r="D111" s="5" t="s">
        <v>21</v>
      </c>
      <c r="E111" s="5" t="s">
        <v>48</v>
      </c>
      <c r="F111" s="6">
        <v>27</v>
      </c>
      <c r="G111" s="6">
        <v>567</v>
      </c>
      <c r="H111" s="6">
        <v>250</v>
      </c>
      <c r="I111" s="3"/>
      <c r="J111" s="37">
        <v>50</v>
      </c>
    </row>
    <row r="112" spans="1:13" ht="14.25" customHeight="1" thickBot="1">
      <c r="A112" s="4">
        <v>40553</v>
      </c>
      <c r="B112" s="5" t="s">
        <v>14</v>
      </c>
      <c r="C112" s="5" t="s">
        <v>26</v>
      </c>
      <c r="D112" s="5" t="s">
        <v>17</v>
      </c>
      <c r="E112" s="5" t="s">
        <v>48</v>
      </c>
      <c r="F112" s="6">
        <v>30</v>
      </c>
      <c r="G112" s="6">
        <v>570</v>
      </c>
      <c r="H112" s="6">
        <v>240</v>
      </c>
      <c r="I112" s="3"/>
      <c r="J112" s="36" t="s">
        <v>23</v>
      </c>
    </row>
    <row r="113" spans="1:10" ht="14.25" customHeight="1" thickBot="1">
      <c r="A113" s="4">
        <v>40573</v>
      </c>
      <c r="B113" s="5" t="s">
        <v>12</v>
      </c>
      <c r="C113" s="5" t="s">
        <v>26</v>
      </c>
      <c r="D113" s="5" t="s">
        <v>13</v>
      </c>
      <c r="E113" s="5" t="s">
        <v>49</v>
      </c>
      <c r="F113" s="6">
        <v>25</v>
      </c>
      <c r="G113" s="6">
        <v>675</v>
      </c>
      <c r="H113" s="6">
        <v>363</v>
      </c>
      <c r="I113" s="3"/>
      <c r="J113" s="37">
        <v>29</v>
      </c>
    </row>
    <row r="114" spans="1:10" ht="14.25" customHeight="1" thickBot="1">
      <c r="A114" s="4">
        <v>40548</v>
      </c>
      <c r="B114" s="5" t="s">
        <v>20</v>
      </c>
      <c r="C114" s="5" t="s">
        <v>26</v>
      </c>
      <c r="D114" s="5" t="s">
        <v>10</v>
      </c>
      <c r="E114" s="5" t="s">
        <v>49</v>
      </c>
      <c r="F114" s="6">
        <v>57</v>
      </c>
      <c r="G114" s="7">
        <v>1197</v>
      </c>
      <c r="H114" s="6">
        <v>527</v>
      </c>
      <c r="I114" s="3"/>
      <c r="J114" s="37">
        <v>49</v>
      </c>
    </row>
    <row r="115" spans="1:10" ht="14.25" customHeight="1" thickBot="1">
      <c r="A115" s="4">
        <v>40553</v>
      </c>
      <c r="B115" s="5" t="s">
        <v>14</v>
      </c>
      <c r="C115" s="5" t="s">
        <v>22</v>
      </c>
      <c r="D115" s="5" t="s">
        <v>24</v>
      </c>
      <c r="E115" s="5" t="s">
        <v>49</v>
      </c>
      <c r="F115" s="6">
        <v>8</v>
      </c>
      <c r="G115" s="6">
        <v>152</v>
      </c>
      <c r="H115" s="6">
        <v>64</v>
      </c>
      <c r="I115" s="3"/>
      <c r="J115" s="36" t="s">
        <v>25</v>
      </c>
    </row>
    <row r="116" spans="1:10" ht="14.25" customHeight="1" thickBot="1">
      <c r="A116" s="4">
        <v>40573</v>
      </c>
      <c r="B116" s="5" t="s">
        <v>14</v>
      </c>
      <c r="C116" s="5" t="s">
        <v>26</v>
      </c>
      <c r="D116" s="5" t="s">
        <v>13</v>
      </c>
      <c r="E116" s="5" t="s">
        <v>49</v>
      </c>
      <c r="F116" s="6">
        <v>23</v>
      </c>
      <c r="G116" s="6">
        <v>437</v>
      </c>
      <c r="H116" s="6">
        <v>184</v>
      </c>
      <c r="I116" s="3"/>
      <c r="J116" s="37">
        <v>20</v>
      </c>
    </row>
    <row r="117" spans="1:10" ht="14.25" customHeight="1" thickBot="1">
      <c r="A117" s="4">
        <v>40552</v>
      </c>
      <c r="B117" s="5" t="s">
        <v>16</v>
      </c>
      <c r="C117" s="5" t="s">
        <v>26</v>
      </c>
      <c r="D117" s="5" t="s">
        <v>17</v>
      </c>
      <c r="E117" s="5" t="s">
        <v>50</v>
      </c>
      <c r="F117" s="6">
        <v>26</v>
      </c>
      <c r="G117" s="6">
        <v>572</v>
      </c>
      <c r="H117" s="6">
        <v>260</v>
      </c>
      <c r="I117" s="3"/>
      <c r="J117" s="37">
        <v>44</v>
      </c>
    </row>
    <row r="118" spans="1:10" ht="14.25" customHeight="1" thickBot="1">
      <c r="A118" s="4">
        <v>40552</v>
      </c>
      <c r="B118" s="5" t="s">
        <v>8</v>
      </c>
      <c r="C118" s="5" t="s">
        <v>9</v>
      </c>
      <c r="D118" s="5" t="s">
        <v>15</v>
      </c>
      <c r="E118" s="5" t="s">
        <v>50</v>
      </c>
      <c r="F118" s="6">
        <v>38</v>
      </c>
      <c r="G118" s="6">
        <v>874</v>
      </c>
      <c r="H118" s="6">
        <v>418</v>
      </c>
      <c r="I118" s="3"/>
      <c r="J118" s="36" t="s">
        <v>27</v>
      </c>
    </row>
    <row r="119" spans="1:10" ht="14.25" customHeight="1" thickBot="1">
      <c r="A119" s="4">
        <v>40597</v>
      </c>
      <c r="B119" s="5" t="s">
        <v>8</v>
      </c>
      <c r="C119" s="5" t="s">
        <v>9</v>
      </c>
      <c r="D119" s="5" t="s">
        <v>15</v>
      </c>
      <c r="E119" s="5" t="s">
        <v>50</v>
      </c>
      <c r="F119" s="6">
        <v>38</v>
      </c>
      <c r="G119" s="6">
        <v>874</v>
      </c>
      <c r="H119" s="6">
        <v>418</v>
      </c>
      <c r="I119" s="3"/>
      <c r="J119" s="37">
        <v>23</v>
      </c>
    </row>
    <row r="120" spans="1:10" ht="14.25" customHeight="1" thickBot="1">
      <c r="A120" s="4">
        <v>40546</v>
      </c>
      <c r="B120" s="5" t="s">
        <v>20</v>
      </c>
      <c r="C120" s="5" t="s">
        <v>26</v>
      </c>
      <c r="D120" s="5" t="s">
        <v>10</v>
      </c>
      <c r="E120" s="5" t="s">
        <v>50</v>
      </c>
      <c r="F120" s="6">
        <v>23</v>
      </c>
      <c r="G120" s="6">
        <v>483</v>
      </c>
      <c r="H120" s="6">
        <v>213</v>
      </c>
      <c r="I120" s="3"/>
      <c r="J120" s="37">
        <v>49</v>
      </c>
    </row>
    <row r="121" spans="1:10" ht="14.25" customHeight="1" thickBot="1">
      <c r="A121" s="4">
        <v>40555</v>
      </c>
      <c r="B121" s="5" t="s">
        <v>16</v>
      </c>
      <c r="C121" s="5" t="s">
        <v>26</v>
      </c>
      <c r="D121" s="5" t="s">
        <v>17</v>
      </c>
      <c r="E121" s="5" t="s">
        <v>51</v>
      </c>
      <c r="F121" s="6">
        <v>7</v>
      </c>
      <c r="G121" s="6">
        <v>154</v>
      </c>
      <c r="H121" s="6">
        <v>70</v>
      </c>
      <c r="I121" s="3"/>
      <c r="J121" s="36" t="s">
        <v>28</v>
      </c>
    </row>
    <row r="122" spans="1:10" ht="14.25" customHeight="1" thickBot="1">
      <c r="A122" s="4">
        <v>40565</v>
      </c>
      <c r="B122" s="5" t="s">
        <v>16</v>
      </c>
      <c r="C122" s="5" t="s">
        <v>19</v>
      </c>
      <c r="D122" s="5" t="s">
        <v>24</v>
      </c>
      <c r="E122" s="5" t="s">
        <v>51</v>
      </c>
      <c r="F122" s="6">
        <v>6</v>
      </c>
      <c r="G122" s="6">
        <v>132</v>
      </c>
      <c r="H122" s="6">
        <v>60</v>
      </c>
      <c r="I122" s="3"/>
      <c r="J122" s="37">
        <v>40</v>
      </c>
    </row>
    <row r="123" spans="1:10" ht="14.25" customHeight="1" thickBot="1">
      <c r="A123" s="4">
        <v>40610</v>
      </c>
      <c r="B123" s="5" t="s">
        <v>16</v>
      </c>
      <c r="C123" s="5" t="s">
        <v>19</v>
      </c>
      <c r="D123" s="5" t="s">
        <v>24</v>
      </c>
      <c r="E123" s="5" t="s">
        <v>51</v>
      </c>
      <c r="F123" s="6">
        <v>6</v>
      </c>
      <c r="G123" s="6">
        <v>132</v>
      </c>
      <c r="H123" s="6">
        <v>60</v>
      </c>
      <c r="I123" s="3"/>
      <c r="J123" s="36" t="s">
        <v>30</v>
      </c>
    </row>
    <row r="124" spans="1:10" ht="14.25" customHeight="1" thickBot="1">
      <c r="A124" s="4">
        <v>40566</v>
      </c>
      <c r="B124" s="5" t="s">
        <v>12</v>
      </c>
      <c r="C124" s="5" t="s">
        <v>9</v>
      </c>
      <c r="D124" s="5" t="s">
        <v>10</v>
      </c>
      <c r="E124" s="5" t="s">
        <v>51</v>
      </c>
      <c r="F124" s="6">
        <v>22</v>
      </c>
      <c r="G124" s="6">
        <v>594</v>
      </c>
      <c r="H124" s="6">
        <v>319</v>
      </c>
      <c r="I124" s="3"/>
      <c r="J124" s="37">
        <v>20</v>
      </c>
    </row>
    <row r="125" spans="1:10" ht="14.25" customHeight="1" thickBot="1">
      <c r="A125" s="4">
        <v>40550</v>
      </c>
      <c r="B125" s="5" t="s">
        <v>20</v>
      </c>
      <c r="C125" s="5" t="s">
        <v>19</v>
      </c>
      <c r="D125" s="5" t="s">
        <v>10</v>
      </c>
      <c r="E125" s="5" t="s">
        <v>51</v>
      </c>
      <c r="F125" s="6">
        <v>53</v>
      </c>
      <c r="G125" s="7">
        <v>1113</v>
      </c>
      <c r="H125" s="6">
        <v>490</v>
      </c>
      <c r="I125" s="3"/>
      <c r="J125" s="37">
        <v>29</v>
      </c>
    </row>
    <row r="126" spans="1:10" ht="14.25" customHeight="1" thickBot="1">
      <c r="A126" s="4">
        <v>40559</v>
      </c>
      <c r="B126" s="5" t="s">
        <v>16</v>
      </c>
      <c r="C126" s="5" t="s">
        <v>22</v>
      </c>
      <c r="D126" s="5" t="s">
        <v>13</v>
      </c>
      <c r="E126" s="5" t="s">
        <v>52</v>
      </c>
      <c r="F126" s="6">
        <v>56</v>
      </c>
      <c r="G126" s="7">
        <v>1232</v>
      </c>
      <c r="H126" s="6">
        <v>560</v>
      </c>
      <c r="I126" s="3"/>
      <c r="J126" s="37">
        <v>38</v>
      </c>
    </row>
    <row r="127" spans="1:10" ht="14.25" customHeight="1" thickBot="1">
      <c r="A127" s="4">
        <v>40589</v>
      </c>
      <c r="B127" s="5" t="s">
        <v>16</v>
      </c>
      <c r="C127" s="5" t="s">
        <v>22</v>
      </c>
      <c r="D127" s="5" t="s">
        <v>13</v>
      </c>
      <c r="E127" s="5" t="s">
        <v>52</v>
      </c>
      <c r="F127" s="6">
        <v>56</v>
      </c>
      <c r="G127" s="7">
        <v>1232</v>
      </c>
      <c r="H127" s="6">
        <v>560</v>
      </c>
      <c r="I127" s="3"/>
      <c r="J127" s="36" t="s">
        <v>36</v>
      </c>
    </row>
    <row r="128" spans="1:10" ht="14.25" customHeight="1" thickBot="1">
      <c r="A128" s="4">
        <v>40565</v>
      </c>
      <c r="B128" s="5" t="s">
        <v>16</v>
      </c>
      <c r="C128" s="5" t="s">
        <v>19</v>
      </c>
      <c r="D128" s="5" t="s">
        <v>13</v>
      </c>
      <c r="E128" s="5" t="s">
        <v>52</v>
      </c>
      <c r="F128" s="6">
        <v>35</v>
      </c>
      <c r="G128" s="6">
        <v>770</v>
      </c>
      <c r="H128" s="6">
        <v>350</v>
      </c>
      <c r="I128" s="3"/>
      <c r="J128" s="37">
        <v>21</v>
      </c>
    </row>
    <row r="129" spans="1:10" ht="14.25" customHeight="1" thickBot="1">
      <c r="A129" s="4">
        <v>40561</v>
      </c>
      <c r="B129" s="5" t="s">
        <v>8</v>
      </c>
      <c r="C129" s="5" t="s">
        <v>26</v>
      </c>
      <c r="D129" s="5" t="s">
        <v>24</v>
      </c>
      <c r="E129" s="5" t="s">
        <v>52</v>
      </c>
      <c r="F129" s="6">
        <v>53</v>
      </c>
      <c r="G129" s="7">
        <v>1219</v>
      </c>
      <c r="H129" s="6">
        <v>583</v>
      </c>
      <c r="I129" s="3"/>
      <c r="J129" s="37">
        <v>34</v>
      </c>
    </row>
    <row r="130" spans="1:10" ht="14.25" customHeight="1" thickBot="1">
      <c r="A130" s="4">
        <v>40571</v>
      </c>
      <c r="B130" s="5" t="s">
        <v>12</v>
      </c>
      <c r="C130" s="5" t="s">
        <v>22</v>
      </c>
      <c r="D130" s="5" t="s">
        <v>24</v>
      </c>
      <c r="E130" s="5" t="s">
        <v>52</v>
      </c>
      <c r="F130" s="6">
        <v>42</v>
      </c>
      <c r="G130" s="7">
        <v>1134</v>
      </c>
      <c r="H130" s="6">
        <v>609</v>
      </c>
      <c r="I130" s="3"/>
      <c r="J130" s="36" t="s">
        <v>37</v>
      </c>
    </row>
    <row r="131" spans="1:10" ht="14.25" customHeight="1" thickBot="1">
      <c r="A131" s="4">
        <v>40571</v>
      </c>
      <c r="B131" s="5" t="s">
        <v>12</v>
      </c>
      <c r="C131" s="5" t="s">
        <v>26</v>
      </c>
      <c r="D131" s="5" t="s">
        <v>15</v>
      </c>
      <c r="E131" s="5" t="s">
        <v>52</v>
      </c>
      <c r="F131" s="6">
        <v>44</v>
      </c>
      <c r="G131" s="7">
        <v>1188</v>
      </c>
      <c r="H131" s="6">
        <v>638</v>
      </c>
      <c r="I131" s="3"/>
      <c r="J131" s="37">
        <v>24</v>
      </c>
    </row>
    <row r="132" spans="1:10" ht="14.25" customHeight="1" thickBot="1">
      <c r="A132" s="4">
        <v>40616</v>
      </c>
      <c r="B132" s="5" t="s">
        <v>12</v>
      </c>
      <c r="C132" s="5" t="s">
        <v>26</v>
      </c>
      <c r="D132" s="5" t="s">
        <v>15</v>
      </c>
      <c r="E132" s="5" t="s">
        <v>52</v>
      </c>
      <c r="F132" s="6">
        <v>44</v>
      </c>
      <c r="G132" s="7">
        <v>1188</v>
      </c>
      <c r="H132" s="6">
        <v>638</v>
      </c>
      <c r="I132" s="3"/>
      <c r="J132" s="37">
        <v>29</v>
      </c>
    </row>
    <row r="133" spans="1:10" ht="14.25" customHeight="1" thickBot="1">
      <c r="A133" s="4">
        <v>40558</v>
      </c>
      <c r="B133" s="5" t="s">
        <v>14</v>
      </c>
      <c r="C133" s="5" t="s">
        <v>22</v>
      </c>
      <c r="D133" s="5" t="s">
        <v>17</v>
      </c>
      <c r="E133" s="5" t="s">
        <v>52</v>
      </c>
      <c r="F133" s="6">
        <v>11</v>
      </c>
      <c r="G133" s="6">
        <v>209</v>
      </c>
      <c r="H133" s="6">
        <v>88</v>
      </c>
      <c r="I133" s="3"/>
      <c r="J133" s="36" t="s">
        <v>40</v>
      </c>
    </row>
    <row r="134" spans="1:10" ht="14.25" customHeight="1" thickBot="1">
      <c r="A134" s="4">
        <v>40588</v>
      </c>
      <c r="B134" s="5" t="s">
        <v>14</v>
      </c>
      <c r="C134" s="5" t="s">
        <v>22</v>
      </c>
      <c r="D134" s="5" t="s">
        <v>17</v>
      </c>
      <c r="E134" s="5" t="s">
        <v>52</v>
      </c>
      <c r="F134" s="6">
        <v>11</v>
      </c>
      <c r="G134" s="6">
        <v>209</v>
      </c>
      <c r="H134" s="6">
        <v>88</v>
      </c>
      <c r="I134" s="3"/>
      <c r="J134" s="37">
        <v>47</v>
      </c>
    </row>
    <row r="135" spans="1:10" ht="14.25" customHeight="1" thickBot="1">
      <c r="A135" s="4">
        <v>40563</v>
      </c>
      <c r="B135" s="5" t="s">
        <v>14</v>
      </c>
      <c r="C135" s="5" t="s">
        <v>19</v>
      </c>
      <c r="D135" s="5" t="s">
        <v>13</v>
      </c>
      <c r="E135" s="5" t="s">
        <v>52</v>
      </c>
      <c r="F135" s="6">
        <v>58</v>
      </c>
      <c r="G135" s="7">
        <v>1102</v>
      </c>
      <c r="H135" s="6">
        <v>464</v>
      </c>
      <c r="I135" s="3"/>
      <c r="J135" s="36" t="s">
        <v>41</v>
      </c>
    </row>
    <row r="136" spans="1:10" ht="14.25" customHeight="1" thickBot="1">
      <c r="A136" s="4">
        <v>40571</v>
      </c>
      <c r="B136" s="5" t="s">
        <v>20</v>
      </c>
      <c r="C136" s="5" t="s">
        <v>9</v>
      </c>
      <c r="D136" s="5" t="s">
        <v>24</v>
      </c>
      <c r="E136" s="5" t="s">
        <v>53</v>
      </c>
      <c r="F136" s="6">
        <v>36</v>
      </c>
      <c r="G136" s="6">
        <v>756</v>
      </c>
      <c r="H136" s="6">
        <v>333</v>
      </c>
      <c r="I136" s="3"/>
      <c r="J136" s="37">
        <v>46</v>
      </c>
    </row>
    <row r="137" spans="1:10" ht="15" customHeight="1">
      <c r="J137" s="36" t="s">
        <v>42</v>
      </c>
    </row>
    <row r="138" spans="1:10" ht="15" customHeight="1">
      <c r="A138" s="35" t="s">
        <v>260</v>
      </c>
      <c r="B138" s="42">
        <v>8</v>
      </c>
      <c r="J138" s="37">
        <v>22</v>
      </c>
    </row>
    <row r="139" spans="1:10" ht="15" customHeight="1">
      <c r="A139" s="36" t="s">
        <v>179</v>
      </c>
      <c r="B139" s="42" t="s">
        <v>179</v>
      </c>
      <c r="J139" s="37">
        <v>39</v>
      </c>
    </row>
    <row r="140" spans="1:10" ht="15" customHeight="1" thickBot="1">
      <c r="A140" s="36" t="s">
        <v>18</v>
      </c>
      <c r="J140" s="37">
        <v>42</v>
      </c>
    </row>
    <row r="141" spans="1:10" ht="15" customHeight="1" thickBot="1">
      <c r="A141" s="36" t="s">
        <v>23</v>
      </c>
      <c r="D141" t="s">
        <v>307</v>
      </c>
      <c r="E141" s="3" t="s">
        <v>307</v>
      </c>
      <c r="J141" s="37">
        <v>44</v>
      </c>
    </row>
    <row r="142" spans="1:10" ht="15" customHeight="1">
      <c r="A142" s="36" t="s">
        <v>25</v>
      </c>
      <c r="D142" s="35" t="s">
        <v>260</v>
      </c>
      <c r="E142" t="s">
        <v>309</v>
      </c>
      <c r="J142" s="36" t="s">
        <v>44</v>
      </c>
    </row>
    <row r="143" spans="1:10" ht="15" customHeight="1">
      <c r="A143" s="36" t="s">
        <v>27</v>
      </c>
      <c r="D143" s="36" t="s">
        <v>179</v>
      </c>
      <c r="E143" s="38">
        <v>31.75</v>
      </c>
      <c r="J143" s="37">
        <v>21</v>
      </c>
    </row>
    <row r="144" spans="1:10" ht="15" customHeight="1">
      <c r="A144" s="36" t="s">
        <v>28</v>
      </c>
      <c r="D144" s="37" t="s">
        <v>15</v>
      </c>
      <c r="E144" s="38">
        <v>24</v>
      </c>
      <c r="J144" s="37">
        <v>33</v>
      </c>
    </row>
    <row r="145" spans="1:10" ht="15" customHeight="1">
      <c r="A145" s="36" t="s">
        <v>29</v>
      </c>
      <c r="D145" s="37" t="s">
        <v>10</v>
      </c>
      <c r="E145" s="38">
        <v>63</v>
      </c>
      <c r="J145" s="37">
        <v>40</v>
      </c>
    </row>
    <row r="146" spans="1:10" ht="15" customHeight="1">
      <c r="A146" s="36" t="s">
        <v>30</v>
      </c>
      <c r="D146" s="37" t="s">
        <v>13</v>
      </c>
      <c r="E146" s="38">
        <v>16</v>
      </c>
      <c r="J146" s="36" t="s">
        <v>45</v>
      </c>
    </row>
    <row r="147" spans="1:10" ht="15" customHeight="1">
      <c r="A147" s="36" t="s">
        <v>31</v>
      </c>
      <c r="D147" s="36" t="s">
        <v>18</v>
      </c>
      <c r="E147" s="38">
        <v>37.857142857142854</v>
      </c>
      <c r="J147" s="37">
        <v>25</v>
      </c>
    </row>
    <row r="148" spans="1:10" ht="15" customHeight="1">
      <c r="A148" s="36" t="s">
        <v>32</v>
      </c>
      <c r="D148" s="37" t="s">
        <v>17</v>
      </c>
      <c r="E148" s="38">
        <v>50</v>
      </c>
      <c r="J148" s="37">
        <v>31</v>
      </c>
    </row>
    <row r="149" spans="1:10" ht="15" customHeight="1">
      <c r="A149" s="36" t="s">
        <v>33</v>
      </c>
      <c r="D149" s="37" t="s">
        <v>21</v>
      </c>
      <c r="E149" s="38">
        <v>63</v>
      </c>
      <c r="J149" s="37">
        <v>40</v>
      </c>
    </row>
    <row r="150" spans="1:10" ht="15" customHeight="1">
      <c r="A150" s="36" t="s">
        <v>34</v>
      </c>
      <c r="D150" s="37" t="s">
        <v>10</v>
      </c>
      <c r="E150" s="38">
        <v>45.333333333333336</v>
      </c>
      <c r="J150" s="36" t="s">
        <v>46</v>
      </c>
    </row>
    <row r="151" spans="1:10" ht="15" customHeight="1">
      <c r="A151" s="36" t="s">
        <v>35</v>
      </c>
      <c r="D151" s="37" t="s">
        <v>13</v>
      </c>
      <c r="E151" s="38">
        <v>8</v>
      </c>
      <c r="J151" s="37">
        <v>43</v>
      </c>
    </row>
    <row r="152" spans="1:10" ht="15" customHeight="1">
      <c r="A152" s="36" t="s">
        <v>36</v>
      </c>
      <c r="D152" s="36" t="s">
        <v>23</v>
      </c>
      <c r="E152" s="38">
        <v>26</v>
      </c>
      <c r="J152" s="36" t="s">
        <v>47</v>
      </c>
    </row>
    <row r="153" spans="1:10" ht="15" customHeight="1">
      <c r="A153" s="36" t="s">
        <v>37</v>
      </c>
      <c r="D153" s="37" t="s">
        <v>15</v>
      </c>
      <c r="E153" s="38">
        <v>13</v>
      </c>
      <c r="J153" s="37">
        <v>27</v>
      </c>
    </row>
    <row r="154" spans="1:10" ht="15" customHeight="1">
      <c r="A154" s="36" t="s">
        <v>38</v>
      </c>
      <c r="D154" s="37" t="s">
        <v>13</v>
      </c>
      <c r="E154" s="38">
        <v>29</v>
      </c>
      <c r="J154" s="37">
        <v>35</v>
      </c>
    </row>
    <row r="155" spans="1:10" ht="15" customHeight="1">
      <c r="A155" s="36" t="s">
        <v>39</v>
      </c>
      <c r="D155" s="37" t="s">
        <v>24</v>
      </c>
      <c r="E155" s="38">
        <v>49</v>
      </c>
      <c r="J155" s="37">
        <v>49</v>
      </c>
    </row>
    <row r="156" spans="1:10" ht="15" customHeight="1">
      <c r="A156" s="36" t="s">
        <v>40</v>
      </c>
      <c r="D156" s="36" t="s">
        <v>25</v>
      </c>
      <c r="E156" s="38">
        <v>20.5</v>
      </c>
      <c r="J156" s="36" t="s">
        <v>48</v>
      </c>
    </row>
    <row r="157" spans="1:10" ht="15" customHeight="1">
      <c r="A157" s="36" t="s">
        <v>41</v>
      </c>
      <c r="D157" s="37" t="s">
        <v>15</v>
      </c>
      <c r="E157" s="38">
        <v>20</v>
      </c>
      <c r="J157" s="37">
        <v>27</v>
      </c>
    </row>
    <row r="158" spans="1:10" ht="15" customHeight="1">
      <c r="A158" s="36" t="s">
        <v>42</v>
      </c>
      <c r="D158" s="37" t="s">
        <v>21</v>
      </c>
      <c r="E158" s="38">
        <v>9</v>
      </c>
      <c r="J158" s="37">
        <v>30</v>
      </c>
    </row>
    <row r="159" spans="1:10" ht="15" customHeight="1">
      <c r="A159" s="36" t="s">
        <v>43</v>
      </c>
      <c r="D159" s="37" t="s">
        <v>13</v>
      </c>
      <c r="E159" s="38">
        <v>44</v>
      </c>
      <c r="J159" s="36" t="s">
        <v>49</v>
      </c>
    </row>
    <row r="160" spans="1:10" ht="15" customHeight="1">
      <c r="A160" s="36" t="s">
        <v>44</v>
      </c>
      <c r="D160" s="36" t="s">
        <v>27</v>
      </c>
      <c r="E160" s="38">
        <v>37</v>
      </c>
      <c r="J160" s="37">
        <v>23</v>
      </c>
    </row>
    <row r="161" spans="1:10" ht="15" customHeight="1">
      <c r="A161" s="36" t="s">
        <v>45</v>
      </c>
      <c r="D161" s="37" t="s">
        <v>21</v>
      </c>
      <c r="E161" s="38">
        <v>49</v>
      </c>
      <c r="J161" s="37">
        <v>25</v>
      </c>
    </row>
    <row r="162" spans="1:10" ht="15" customHeight="1">
      <c r="A162" s="36" t="s">
        <v>46</v>
      </c>
      <c r="D162" s="37" t="s">
        <v>10</v>
      </c>
      <c r="E162" s="38">
        <v>41</v>
      </c>
      <c r="J162" s="36" t="s">
        <v>50</v>
      </c>
    </row>
    <row r="163" spans="1:10" ht="15" customHeight="1">
      <c r="A163" s="36" t="s">
        <v>47</v>
      </c>
      <c r="D163" s="37" t="s">
        <v>24</v>
      </c>
      <c r="E163" s="38">
        <v>17</v>
      </c>
      <c r="J163" s="37">
        <v>23</v>
      </c>
    </row>
    <row r="164" spans="1:10" ht="15" customHeight="1">
      <c r="A164" s="36" t="s">
        <v>48</v>
      </c>
      <c r="D164" s="36" t="s">
        <v>28</v>
      </c>
      <c r="E164" s="38">
        <v>47</v>
      </c>
      <c r="J164" s="37">
        <v>26</v>
      </c>
    </row>
    <row r="165" spans="1:10" ht="15" customHeight="1">
      <c r="A165" s="36" t="s">
        <v>49</v>
      </c>
      <c r="D165" s="37" t="s">
        <v>17</v>
      </c>
      <c r="E165" s="38">
        <v>61</v>
      </c>
      <c r="J165" s="37">
        <v>38</v>
      </c>
    </row>
    <row r="166" spans="1:10" ht="15" customHeight="1">
      <c r="A166" s="36" t="s">
        <v>50</v>
      </c>
      <c r="D166" s="37" t="s">
        <v>10</v>
      </c>
      <c r="E166" s="38">
        <v>40</v>
      </c>
      <c r="J166" s="36" t="s">
        <v>51</v>
      </c>
    </row>
    <row r="167" spans="1:10" ht="15" customHeight="1">
      <c r="A167" s="36" t="s">
        <v>51</v>
      </c>
      <c r="D167" s="36" t="s">
        <v>29</v>
      </c>
      <c r="E167" s="38">
        <v>35.5</v>
      </c>
      <c r="J167" s="37">
        <v>22</v>
      </c>
    </row>
    <row r="168" spans="1:10" ht="15" customHeight="1">
      <c r="A168" s="36" t="s">
        <v>52</v>
      </c>
      <c r="D168" s="37" t="s">
        <v>17</v>
      </c>
      <c r="E168" s="38">
        <v>59</v>
      </c>
      <c r="J168" s="36" t="s">
        <v>52</v>
      </c>
    </row>
    <row r="169" spans="1:10" ht="15" customHeight="1">
      <c r="A169" s="36" t="s">
        <v>53</v>
      </c>
      <c r="D169" s="37" t="s">
        <v>15</v>
      </c>
      <c r="E169" s="38">
        <v>12</v>
      </c>
      <c r="J169" s="37">
        <v>35</v>
      </c>
    </row>
    <row r="170" spans="1:10" ht="15" customHeight="1">
      <c r="A170" s="36" t="s">
        <v>261</v>
      </c>
      <c r="D170" s="36" t="s">
        <v>30</v>
      </c>
      <c r="E170" s="38">
        <v>35.75</v>
      </c>
      <c r="J170" s="37">
        <v>42</v>
      </c>
    </row>
    <row r="171" spans="1:10" ht="15" customHeight="1">
      <c r="D171" s="37" t="s">
        <v>17</v>
      </c>
      <c r="E171" s="38">
        <v>40</v>
      </c>
      <c r="J171" s="37">
        <v>44</v>
      </c>
    </row>
    <row r="172" spans="1:10" ht="15" customHeight="1">
      <c r="D172" s="37" t="s">
        <v>15</v>
      </c>
      <c r="E172" s="38">
        <v>29</v>
      </c>
      <c r="J172" s="36" t="s">
        <v>53</v>
      </c>
    </row>
    <row r="173" spans="1:10" ht="15" customHeight="1">
      <c r="D173" s="37" t="s">
        <v>21</v>
      </c>
      <c r="E173" s="38">
        <v>7</v>
      </c>
      <c r="J173" s="37">
        <v>36</v>
      </c>
    </row>
    <row r="174" spans="1:10" ht="15" customHeight="1">
      <c r="D174" s="37" t="s">
        <v>10</v>
      </c>
      <c r="E174" s="38">
        <v>38</v>
      </c>
      <c r="J174" s="36" t="s">
        <v>261</v>
      </c>
    </row>
    <row r="175" spans="1:10" ht="15" customHeight="1" thickBot="1">
      <c r="D175" s="37" t="s">
        <v>24</v>
      </c>
      <c r="E175" s="38">
        <v>52</v>
      </c>
    </row>
    <row r="176" spans="1:10" ht="15" customHeight="1" thickBot="1">
      <c r="A176" s="3" t="s">
        <v>310</v>
      </c>
      <c r="B176" s="3" t="s">
        <v>310</v>
      </c>
      <c r="C176" s="3"/>
      <c r="D176" s="36" t="s">
        <v>31</v>
      </c>
      <c r="E176" s="38">
        <v>54.333333333333336</v>
      </c>
    </row>
    <row r="177" spans="1:10" ht="15" customHeight="1">
      <c r="A177" s="35" t="s">
        <v>260</v>
      </c>
      <c r="B177" t="s">
        <v>264</v>
      </c>
      <c r="D177" s="37" t="s">
        <v>10</v>
      </c>
      <c r="E177" s="38">
        <v>61</v>
      </c>
      <c r="J177">
        <v>7</v>
      </c>
    </row>
    <row r="178" spans="1:10" ht="15" customHeight="1">
      <c r="A178" s="36" t="s">
        <v>9</v>
      </c>
      <c r="B178" s="39">
        <v>0.32212335692618804</v>
      </c>
      <c r="D178" s="37" t="s">
        <v>24</v>
      </c>
      <c r="E178" s="38">
        <v>51</v>
      </c>
      <c r="J178" s="35" t="s">
        <v>260</v>
      </c>
    </row>
    <row r="179" spans="1:10" ht="15" customHeight="1">
      <c r="A179" s="36" t="s">
        <v>22</v>
      </c>
      <c r="B179" s="39">
        <v>0.18394337714863498</v>
      </c>
      <c r="D179" s="36" t="s">
        <v>32</v>
      </c>
      <c r="E179" s="38">
        <v>24</v>
      </c>
      <c r="J179" s="36" t="s">
        <v>267</v>
      </c>
    </row>
    <row r="180" spans="1:10" ht="15" customHeight="1">
      <c r="A180" s="36" t="s">
        <v>26</v>
      </c>
      <c r="B180" s="39">
        <v>0.24489383215369059</v>
      </c>
      <c r="D180" s="37" t="s">
        <v>15</v>
      </c>
      <c r="E180" s="38">
        <v>27.666666666666668</v>
      </c>
      <c r="J180" s="37" t="s">
        <v>179</v>
      </c>
    </row>
    <row r="181" spans="1:10" ht="15" customHeight="1">
      <c r="A181" s="36" t="s">
        <v>19</v>
      </c>
      <c r="B181" s="39">
        <v>0.24903943377148635</v>
      </c>
      <c r="D181" s="37" t="s">
        <v>10</v>
      </c>
      <c r="E181" s="38">
        <v>13</v>
      </c>
      <c r="J181" s="40" t="s">
        <v>268</v>
      </c>
    </row>
    <row r="182" spans="1:10" ht="15" customHeight="1">
      <c r="A182" s="36" t="s">
        <v>261</v>
      </c>
      <c r="B182" s="39">
        <v>1</v>
      </c>
      <c r="D182" s="36" t="s">
        <v>33</v>
      </c>
      <c r="E182" s="38">
        <v>50.75</v>
      </c>
      <c r="J182" s="40" t="s">
        <v>269</v>
      </c>
    </row>
    <row r="183" spans="1:10" ht="15" customHeight="1">
      <c r="D183" s="37" t="s">
        <v>17</v>
      </c>
      <c r="E183" s="38">
        <v>16</v>
      </c>
      <c r="J183" s="40" t="s">
        <v>270</v>
      </c>
    </row>
    <row r="184" spans="1:10" ht="15" customHeight="1">
      <c r="D184" s="37" t="s">
        <v>15</v>
      </c>
      <c r="E184" s="38">
        <v>62</v>
      </c>
      <c r="J184" s="37" t="s">
        <v>18</v>
      </c>
    </row>
    <row r="185" spans="1:10" ht="15" customHeight="1">
      <c r="D185" s="37" t="s">
        <v>21</v>
      </c>
      <c r="E185" s="38">
        <v>63</v>
      </c>
      <c r="J185" s="40" t="s">
        <v>271</v>
      </c>
    </row>
    <row r="186" spans="1:10" ht="15" customHeight="1">
      <c r="D186" s="36" t="s">
        <v>34</v>
      </c>
      <c r="E186" s="38">
        <v>60</v>
      </c>
      <c r="J186" s="40" t="s">
        <v>272</v>
      </c>
    </row>
    <row r="187" spans="1:10" ht="15" customHeight="1">
      <c r="D187" s="37" t="s">
        <v>15</v>
      </c>
      <c r="E187" s="38">
        <v>60</v>
      </c>
      <c r="J187" s="40" t="s">
        <v>270</v>
      </c>
    </row>
    <row r="188" spans="1:10" ht="15" customHeight="1" thickBot="1">
      <c r="D188" s="36" t="s">
        <v>35</v>
      </c>
      <c r="E188" s="38">
        <v>25.75</v>
      </c>
      <c r="J188" s="40" t="s">
        <v>273</v>
      </c>
    </row>
    <row r="189" spans="1:10" ht="15" customHeight="1" thickBot="1">
      <c r="A189" s="3" t="s">
        <v>313</v>
      </c>
      <c r="B189" s="3" t="s">
        <v>313</v>
      </c>
      <c r="D189" s="37" t="s">
        <v>15</v>
      </c>
      <c r="E189" s="38">
        <v>14</v>
      </c>
      <c r="J189" s="40" t="s">
        <v>274</v>
      </c>
    </row>
    <row r="190" spans="1:10" ht="15" customHeight="1">
      <c r="A190" s="35" t="s">
        <v>260</v>
      </c>
      <c r="B190" s="34" t="s">
        <v>263</v>
      </c>
      <c r="C190" s="34" t="s">
        <v>311</v>
      </c>
      <c r="D190" s="37" t="s">
        <v>21</v>
      </c>
      <c r="E190" s="38">
        <v>37.5</v>
      </c>
      <c r="G190">
        <v>10</v>
      </c>
      <c r="H190">
        <v>10</v>
      </c>
      <c r="J190" s="37" t="s">
        <v>23</v>
      </c>
    </row>
    <row r="191" spans="1:10" ht="15" customHeight="1">
      <c r="A191" s="36" t="s">
        <v>179</v>
      </c>
      <c r="B191" s="38">
        <v>1449</v>
      </c>
      <c r="C191" s="38">
        <v>432</v>
      </c>
      <c r="D191" s="36" t="s">
        <v>36</v>
      </c>
      <c r="E191" s="38">
        <v>27.5</v>
      </c>
      <c r="G191" s="34" t="s">
        <v>262</v>
      </c>
      <c r="H191" s="34" t="s">
        <v>308</v>
      </c>
      <c r="J191" s="40" t="s">
        <v>275</v>
      </c>
    </row>
    <row r="192" spans="1:10" ht="15" customHeight="1">
      <c r="A192" s="37" t="s">
        <v>8</v>
      </c>
      <c r="B192" s="38">
        <v>1449</v>
      </c>
      <c r="C192" s="38">
        <v>1449</v>
      </c>
      <c r="D192" s="37" t="s">
        <v>15</v>
      </c>
      <c r="E192" s="38">
        <v>27.5</v>
      </c>
      <c r="G192" s="38">
        <v>107605</v>
      </c>
      <c r="H192" s="38">
        <v>4587</v>
      </c>
      <c r="J192" s="40" t="s">
        <v>276</v>
      </c>
    </row>
    <row r="193" spans="1:10" ht="15" customHeight="1">
      <c r="A193" s="37" t="s">
        <v>12</v>
      </c>
      <c r="B193" s="38">
        <v>432</v>
      </c>
      <c r="C193" s="38">
        <v>432</v>
      </c>
      <c r="D193" s="36" t="s">
        <v>37</v>
      </c>
      <c r="E193" s="38">
        <v>42.333333333333336</v>
      </c>
      <c r="J193" s="40" t="s">
        <v>277</v>
      </c>
    </row>
    <row r="194" spans="1:10" ht="15" customHeight="1">
      <c r="A194" s="37" t="s">
        <v>14</v>
      </c>
      <c r="B194" s="38">
        <v>456</v>
      </c>
      <c r="C194" s="38">
        <v>456</v>
      </c>
      <c r="D194" s="37" t="s">
        <v>21</v>
      </c>
      <c r="E194" s="38">
        <v>40</v>
      </c>
      <c r="J194" s="37" t="s">
        <v>25</v>
      </c>
    </row>
    <row r="195" spans="1:10" ht="15" customHeight="1">
      <c r="A195" s="36" t="s">
        <v>18</v>
      </c>
      <c r="B195" s="38">
        <v>1323</v>
      </c>
      <c r="C195" s="38">
        <v>152</v>
      </c>
      <c r="D195" s="37" t="s">
        <v>24</v>
      </c>
      <c r="E195" s="38">
        <v>47</v>
      </c>
      <c r="J195" s="40" t="s">
        <v>270</v>
      </c>
    </row>
    <row r="196" spans="1:10" ht="15" customHeight="1">
      <c r="A196" s="37" t="s">
        <v>16</v>
      </c>
      <c r="B196" s="38">
        <v>1166</v>
      </c>
      <c r="C196" s="38">
        <v>1100</v>
      </c>
      <c r="D196" s="36" t="s">
        <v>38</v>
      </c>
      <c r="E196" s="38">
        <v>17.5</v>
      </c>
      <c r="J196" s="40" t="s">
        <v>278</v>
      </c>
    </row>
    <row r="197" spans="1:10" ht="15" customHeight="1">
      <c r="A197" s="37" t="s">
        <v>12</v>
      </c>
      <c r="B197" s="38">
        <v>810</v>
      </c>
      <c r="C197" s="38">
        <v>810</v>
      </c>
      <c r="D197" s="37" t="s">
        <v>17</v>
      </c>
      <c r="E197" s="38">
        <v>17</v>
      </c>
      <c r="J197" s="40" t="s">
        <v>279</v>
      </c>
    </row>
    <row r="198" spans="1:10" ht="15" customHeight="1">
      <c r="A198" s="37" t="s">
        <v>20</v>
      </c>
      <c r="B198" s="38">
        <v>1323</v>
      </c>
      <c r="C198" s="38">
        <v>1323</v>
      </c>
      <c r="D198" s="37" t="s">
        <v>13</v>
      </c>
      <c r="E198" s="38">
        <v>18</v>
      </c>
      <c r="J198" s="37" t="s">
        <v>27</v>
      </c>
    </row>
    <row r="199" spans="1:10" ht="15" customHeight="1">
      <c r="A199" s="37" t="s">
        <v>14</v>
      </c>
      <c r="B199" s="38">
        <v>152</v>
      </c>
      <c r="C199" s="38">
        <v>152</v>
      </c>
      <c r="D199" s="36" t="s">
        <v>39</v>
      </c>
      <c r="E199" s="38">
        <v>15</v>
      </c>
      <c r="J199" s="40" t="s">
        <v>269</v>
      </c>
    </row>
    <row r="200" spans="1:10" ht="15" customHeight="1">
      <c r="A200" s="36" t="s">
        <v>23</v>
      </c>
      <c r="B200" s="38">
        <v>1323</v>
      </c>
      <c r="C200" s="38">
        <v>299</v>
      </c>
      <c r="D200" s="37" t="s">
        <v>24</v>
      </c>
      <c r="E200" s="38">
        <v>15</v>
      </c>
      <c r="J200" s="40" t="s">
        <v>270</v>
      </c>
    </row>
    <row r="201" spans="1:10" ht="15" customHeight="1">
      <c r="A201" s="37" t="s">
        <v>8</v>
      </c>
      <c r="B201" s="38">
        <v>299</v>
      </c>
      <c r="C201" s="38">
        <v>299</v>
      </c>
      <c r="D201" s="36" t="s">
        <v>40</v>
      </c>
      <c r="E201" s="38">
        <v>37</v>
      </c>
      <c r="J201" s="40" t="s">
        <v>280</v>
      </c>
    </row>
    <row r="202" spans="1:10" ht="15" customHeight="1">
      <c r="A202" s="37" t="s">
        <v>12</v>
      </c>
      <c r="B202" s="38">
        <v>1323</v>
      </c>
      <c r="C202" s="38">
        <v>1323</v>
      </c>
      <c r="D202" s="37" t="s">
        <v>13</v>
      </c>
      <c r="E202" s="38">
        <v>47</v>
      </c>
      <c r="J202" s="40" t="s">
        <v>281</v>
      </c>
    </row>
    <row r="203" spans="1:10" ht="15" customHeight="1">
      <c r="A203" s="37" t="s">
        <v>20</v>
      </c>
      <c r="B203" s="38">
        <v>609</v>
      </c>
      <c r="C203" s="38">
        <v>609</v>
      </c>
      <c r="D203" s="37" t="s">
        <v>24</v>
      </c>
      <c r="E203" s="38">
        <v>17</v>
      </c>
      <c r="J203" s="37" t="s">
        <v>28</v>
      </c>
    </row>
    <row r="204" spans="1:10" ht="15" customHeight="1">
      <c r="A204" s="36" t="s">
        <v>25</v>
      </c>
      <c r="B204" s="38">
        <v>924</v>
      </c>
      <c r="C204" s="38">
        <v>198</v>
      </c>
      <c r="D204" s="36" t="s">
        <v>41</v>
      </c>
      <c r="E204" s="38">
        <v>29</v>
      </c>
      <c r="J204" s="40" t="s">
        <v>282</v>
      </c>
    </row>
    <row r="205" spans="1:10" ht="15" customHeight="1">
      <c r="A205" s="37" t="s">
        <v>16</v>
      </c>
      <c r="B205" s="38">
        <v>440</v>
      </c>
      <c r="C205" s="38">
        <v>198</v>
      </c>
      <c r="D205" s="37" t="s">
        <v>15</v>
      </c>
      <c r="E205" s="38">
        <v>46</v>
      </c>
      <c r="J205" s="40" t="s">
        <v>283</v>
      </c>
    </row>
    <row r="206" spans="1:10" ht="15" customHeight="1">
      <c r="A206" s="37" t="s">
        <v>20</v>
      </c>
      <c r="B206" s="38">
        <v>924</v>
      </c>
      <c r="C206" s="38">
        <v>924</v>
      </c>
      <c r="D206" s="37" t="s">
        <v>21</v>
      </c>
      <c r="E206" s="38">
        <v>12</v>
      </c>
      <c r="J206" s="37" t="s">
        <v>29</v>
      </c>
    </row>
    <row r="207" spans="1:10" ht="15" customHeight="1">
      <c r="A207" s="36" t="s">
        <v>27</v>
      </c>
      <c r="B207" s="38">
        <v>1298</v>
      </c>
      <c r="C207" s="38">
        <v>437</v>
      </c>
      <c r="D207" s="36" t="s">
        <v>42</v>
      </c>
      <c r="E207" s="38">
        <v>32.46153846153846</v>
      </c>
      <c r="J207" s="40" t="s">
        <v>284</v>
      </c>
    </row>
    <row r="208" spans="1:10" ht="15" customHeight="1">
      <c r="A208" s="37" t="s">
        <v>16</v>
      </c>
      <c r="B208" s="38">
        <v>1298</v>
      </c>
      <c r="C208" s="38">
        <v>1298</v>
      </c>
      <c r="D208" s="37" t="s">
        <v>17</v>
      </c>
      <c r="E208" s="38">
        <v>36</v>
      </c>
      <c r="J208" s="40" t="s">
        <v>285</v>
      </c>
    </row>
    <row r="209" spans="1:10" ht="15" customHeight="1">
      <c r="A209" s="37" t="s">
        <v>12</v>
      </c>
      <c r="B209" s="38">
        <v>459</v>
      </c>
      <c r="C209" s="38">
        <v>459</v>
      </c>
      <c r="D209" s="37" t="s">
        <v>15</v>
      </c>
      <c r="E209" s="38">
        <v>44</v>
      </c>
      <c r="J209" s="37" t="s">
        <v>30</v>
      </c>
    </row>
    <row r="210" spans="1:10" ht="15" customHeight="1">
      <c r="A210" s="37" t="s">
        <v>14</v>
      </c>
      <c r="B210" s="38">
        <v>931</v>
      </c>
      <c r="C210" s="38">
        <v>437</v>
      </c>
      <c r="D210" s="37" t="s">
        <v>13</v>
      </c>
      <c r="E210" s="38">
        <v>29.333333333333332</v>
      </c>
      <c r="J210" s="40" t="s">
        <v>286</v>
      </c>
    </row>
    <row r="211" spans="1:10" ht="15" customHeight="1">
      <c r="A211" s="36" t="s">
        <v>28</v>
      </c>
      <c r="B211" s="38">
        <v>1647</v>
      </c>
      <c r="C211" s="38">
        <v>880</v>
      </c>
      <c r="D211" s="37" t="s">
        <v>24</v>
      </c>
      <c r="E211" s="38">
        <v>29</v>
      </c>
      <c r="J211" s="40" t="s">
        <v>269</v>
      </c>
    </row>
    <row r="212" spans="1:10" ht="15" customHeight="1">
      <c r="A212" s="37" t="s">
        <v>16</v>
      </c>
      <c r="B212" s="38">
        <v>880</v>
      </c>
      <c r="C212" s="38">
        <v>880</v>
      </c>
      <c r="D212" s="36" t="s">
        <v>43</v>
      </c>
      <c r="E212" s="38">
        <v>28</v>
      </c>
      <c r="J212" s="40" t="s">
        <v>287</v>
      </c>
    </row>
    <row r="213" spans="1:10" ht="15" customHeight="1">
      <c r="A213" s="37" t="s">
        <v>12</v>
      </c>
      <c r="B213" s="38">
        <v>1647</v>
      </c>
      <c r="C213" s="38">
        <v>1647</v>
      </c>
      <c r="D213" s="37" t="s">
        <v>21</v>
      </c>
      <c r="E213" s="38">
        <v>10</v>
      </c>
      <c r="J213" s="40" t="s">
        <v>280</v>
      </c>
    </row>
    <row r="214" spans="1:10" ht="15" customHeight="1">
      <c r="A214" s="36" t="s">
        <v>29</v>
      </c>
      <c r="B214" s="38">
        <v>1357</v>
      </c>
      <c r="C214" s="38">
        <v>228</v>
      </c>
      <c r="D214" s="37" t="s">
        <v>10</v>
      </c>
      <c r="E214" s="38">
        <v>57</v>
      </c>
      <c r="J214" s="40" t="s">
        <v>273</v>
      </c>
    </row>
    <row r="215" spans="1:10" ht="15" customHeight="1">
      <c r="A215" s="37" t="s">
        <v>8</v>
      </c>
      <c r="B215" s="38">
        <v>1357</v>
      </c>
      <c r="C215" s="38">
        <v>1357</v>
      </c>
      <c r="D215" s="37" t="s">
        <v>24</v>
      </c>
      <c r="E215" s="38">
        <v>17</v>
      </c>
      <c r="J215" s="40" t="s">
        <v>288</v>
      </c>
    </row>
    <row r="216" spans="1:10" ht="15" customHeight="1">
      <c r="A216" s="37" t="s">
        <v>14</v>
      </c>
      <c r="B216" s="38">
        <v>228</v>
      </c>
      <c r="C216" s="38">
        <v>228</v>
      </c>
      <c r="D216" s="36" t="s">
        <v>44</v>
      </c>
      <c r="E216" s="38">
        <v>29.833333333333332</v>
      </c>
      <c r="J216" s="37" t="s">
        <v>31</v>
      </c>
    </row>
    <row r="217" spans="1:10" ht="15" customHeight="1">
      <c r="A217" s="36" t="s">
        <v>30</v>
      </c>
      <c r="B217" s="38">
        <v>1566</v>
      </c>
      <c r="C217" s="38">
        <v>154</v>
      </c>
      <c r="D217" s="37" t="s">
        <v>15</v>
      </c>
      <c r="E217" s="38">
        <v>54</v>
      </c>
      <c r="J217" s="40" t="s">
        <v>279</v>
      </c>
    </row>
    <row r="218" spans="1:10" ht="15" customHeight="1">
      <c r="A218" s="37" t="s">
        <v>16</v>
      </c>
      <c r="B218" s="38">
        <v>154</v>
      </c>
      <c r="C218" s="38">
        <v>154</v>
      </c>
      <c r="D218" s="37" t="s">
        <v>21</v>
      </c>
      <c r="E218" s="38">
        <v>17.333333333333332</v>
      </c>
      <c r="J218" s="40" t="s">
        <v>288</v>
      </c>
    </row>
    <row r="219" spans="1:10" ht="15" customHeight="1">
      <c r="A219" s="37" t="s">
        <v>8</v>
      </c>
      <c r="B219" s="38">
        <v>1196</v>
      </c>
      <c r="C219" s="38">
        <v>460</v>
      </c>
      <c r="D219" s="37" t="s">
        <v>10</v>
      </c>
      <c r="E219" s="38">
        <v>36.5</v>
      </c>
      <c r="J219" s="37" t="s">
        <v>32</v>
      </c>
    </row>
    <row r="220" spans="1:10" ht="15" customHeight="1">
      <c r="A220" s="37" t="s">
        <v>12</v>
      </c>
      <c r="B220" s="38">
        <v>1566</v>
      </c>
      <c r="C220" s="38">
        <v>783</v>
      </c>
      <c r="D220" s="36" t="s">
        <v>45</v>
      </c>
      <c r="E220" s="38">
        <v>30</v>
      </c>
      <c r="J220" s="40" t="s">
        <v>289</v>
      </c>
    </row>
    <row r="221" spans="1:10" ht="15" customHeight="1">
      <c r="A221" s="37" t="s">
        <v>20</v>
      </c>
      <c r="B221" s="38">
        <v>1302</v>
      </c>
      <c r="C221" s="38">
        <v>1302</v>
      </c>
      <c r="D221" s="37" t="s">
        <v>21</v>
      </c>
      <c r="E221" s="38">
        <v>10</v>
      </c>
      <c r="J221" s="40" t="s">
        <v>283</v>
      </c>
    </row>
    <row r="222" spans="1:10" ht="15" customHeight="1">
      <c r="A222" s="37" t="s">
        <v>14</v>
      </c>
      <c r="B222" s="38">
        <v>722</v>
      </c>
      <c r="C222" s="38">
        <v>722</v>
      </c>
      <c r="D222" s="37" t="s">
        <v>13</v>
      </c>
      <c r="E222" s="38">
        <v>21.666666666666668</v>
      </c>
      <c r="J222" s="40" t="s">
        <v>280</v>
      </c>
    </row>
    <row r="223" spans="1:10" ht="15" customHeight="1">
      <c r="A223" s="36" t="s">
        <v>31</v>
      </c>
      <c r="B223" s="38">
        <v>5000</v>
      </c>
      <c r="C223" s="38">
        <v>969</v>
      </c>
      <c r="D223" s="37" t="s">
        <v>24</v>
      </c>
      <c r="E223" s="38">
        <v>45</v>
      </c>
      <c r="J223" s="37" t="s">
        <v>33</v>
      </c>
    </row>
    <row r="224" spans="1:10" ht="15" customHeight="1">
      <c r="A224" s="37" t="s">
        <v>16</v>
      </c>
      <c r="B224" s="38">
        <v>5000</v>
      </c>
      <c r="C224" s="38">
        <v>5000</v>
      </c>
      <c r="D224" s="36" t="s">
        <v>46</v>
      </c>
      <c r="E224" s="38">
        <v>35</v>
      </c>
      <c r="J224" s="40" t="s">
        <v>290</v>
      </c>
    </row>
    <row r="225" spans="1:10" ht="15" customHeight="1">
      <c r="A225" s="37" t="s">
        <v>14</v>
      </c>
      <c r="B225" s="38">
        <v>969</v>
      </c>
      <c r="C225" s="38">
        <v>969</v>
      </c>
      <c r="D225" s="37" t="s">
        <v>21</v>
      </c>
      <c r="E225" s="38">
        <v>43</v>
      </c>
      <c r="J225" s="40" t="s">
        <v>283</v>
      </c>
    </row>
    <row r="226" spans="1:10" ht="15" customHeight="1">
      <c r="A226" s="36" t="s">
        <v>32</v>
      </c>
      <c r="B226" s="38">
        <v>1121</v>
      </c>
      <c r="C226" s="38">
        <v>273</v>
      </c>
      <c r="D226" s="37" t="s">
        <v>10</v>
      </c>
      <c r="E226" s="38">
        <v>19</v>
      </c>
      <c r="J226" s="40" t="s">
        <v>277</v>
      </c>
    </row>
    <row r="227" spans="1:10" ht="15" customHeight="1">
      <c r="A227" s="37" t="s">
        <v>8</v>
      </c>
      <c r="B227" s="38">
        <v>276</v>
      </c>
      <c r="C227" s="38">
        <v>276</v>
      </c>
      <c r="D227" s="36" t="s">
        <v>47</v>
      </c>
      <c r="E227" s="38">
        <v>46.6</v>
      </c>
      <c r="J227" s="37" t="s">
        <v>34</v>
      </c>
    </row>
    <row r="228" spans="1:10" ht="15" customHeight="1">
      <c r="A228" s="37" t="s">
        <v>20</v>
      </c>
      <c r="B228" s="38">
        <v>273</v>
      </c>
      <c r="C228" s="38">
        <v>273</v>
      </c>
      <c r="D228" s="37" t="s">
        <v>17</v>
      </c>
      <c r="E228" s="38">
        <v>49</v>
      </c>
      <c r="J228" s="40" t="s">
        <v>284</v>
      </c>
    </row>
    <row r="229" spans="1:10" ht="15" customHeight="1">
      <c r="A229" s="37" t="s">
        <v>14</v>
      </c>
      <c r="B229" s="38">
        <v>1121</v>
      </c>
      <c r="C229" s="38">
        <v>1121</v>
      </c>
      <c r="D229" s="37" t="s">
        <v>10</v>
      </c>
      <c r="E229" s="38">
        <v>61</v>
      </c>
      <c r="J229" s="37" t="s">
        <v>35</v>
      </c>
    </row>
    <row r="230" spans="1:10" ht="15" customHeight="1">
      <c r="A230" s="36" t="s">
        <v>33</v>
      </c>
      <c r="B230" s="38">
        <v>1701</v>
      </c>
      <c r="C230" s="38">
        <v>432</v>
      </c>
      <c r="D230" s="37" t="s">
        <v>13</v>
      </c>
      <c r="E230" s="38">
        <v>35</v>
      </c>
      <c r="J230" s="40" t="s">
        <v>276</v>
      </c>
    </row>
    <row r="231" spans="1:10" ht="15" customHeight="1">
      <c r="A231" s="37" t="s">
        <v>12</v>
      </c>
      <c r="B231" s="38">
        <v>1701</v>
      </c>
      <c r="C231" s="38">
        <v>432</v>
      </c>
      <c r="D231" s="37" t="s">
        <v>24</v>
      </c>
      <c r="E231" s="38">
        <v>27</v>
      </c>
      <c r="J231" s="40" t="s">
        <v>291</v>
      </c>
    </row>
    <row r="232" spans="1:10" ht="15" customHeight="1">
      <c r="A232" s="36" t="s">
        <v>34</v>
      </c>
      <c r="B232" s="38">
        <v>1380</v>
      </c>
      <c r="C232" s="38">
        <v>1380</v>
      </c>
      <c r="D232" s="36" t="s">
        <v>48</v>
      </c>
      <c r="E232" s="38">
        <v>22.666666666666668</v>
      </c>
      <c r="J232" s="40" t="s">
        <v>280</v>
      </c>
    </row>
    <row r="233" spans="1:10" ht="15" customHeight="1">
      <c r="A233" s="37" t="s">
        <v>8</v>
      </c>
      <c r="B233" s="38">
        <v>1380</v>
      </c>
      <c r="C233" s="38">
        <v>1380</v>
      </c>
      <c r="D233" s="37" t="s">
        <v>17</v>
      </c>
      <c r="E233" s="38">
        <v>30</v>
      </c>
      <c r="J233" s="37" t="s">
        <v>36</v>
      </c>
    </row>
    <row r="234" spans="1:10" ht="15" customHeight="1">
      <c r="A234" s="36" t="s">
        <v>35</v>
      </c>
      <c r="B234" s="38">
        <v>1512</v>
      </c>
      <c r="C234" s="38">
        <v>378</v>
      </c>
      <c r="D234" s="37" t="s">
        <v>21</v>
      </c>
      <c r="E234" s="38">
        <v>27</v>
      </c>
      <c r="J234" s="40" t="s">
        <v>292</v>
      </c>
    </row>
    <row r="235" spans="1:10" ht="15" customHeight="1">
      <c r="A235" s="37" t="s">
        <v>12</v>
      </c>
      <c r="B235" s="38">
        <v>1512</v>
      </c>
      <c r="C235" s="38">
        <v>378</v>
      </c>
      <c r="D235" s="37" t="s">
        <v>24</v>
      </c>
      <c r="E235" s="38">
        <v>11</v>
      </c>
      <c r="J235" s="40" t="s">
        <v>293</v>
      </c>
    </row>
    <row r="236" spans="1:10" ht="15" customHeight="1">
      <c r="A236" s="37" t="s">
        <v>20</v>
      </c>
      <c r="B236" s="38">
        <v>399</v>
      </c>
      <c r="C236" s="38">
        <v>399</v>
      </c>
      <c r="D236" s="36" t="s">
        <v>49</v>
      </c>
      <c r="E236" s="38">
        <v>28.25</v>
      </c>
      <c r="J236" s="37" t="s">
        <v>37</v>
      </c>
    </row>
    <row r="237" spans="1:10" ht="15" customHeight="1">
      <c r="A237" s="36" t="s">
        <v>36</v>
      </c>
      <c r="B237" s="38">
        <v>782</v>
      </c>
      <c r="C237" s="38">
        <v>399</v>
      </c>
      <c r="D237" s="37" t="s">
        <v>10</v>
      </c>
      <c r="E237" s="38">
        <v>57</v>
      </c>
      <c r="J237" s="40" t="s">
        <v>271</v>
      </c>
    </row>
    <row r="238" spans="1:10" ht="15" customHeight="1">
      <c r="A238" s="37" t="s">
        <v>8</v>
      </c>
      <c r="B238" s="38">
        <v>782</v>
      </c>
      <c r="C238" s="38">
        <v>782</v>
      </c>
      <c r="D238" s="37" t="s">
        <v>13</v>
      </c>
      <c r="E238" s="38">
        <v>24</v>
      </c>
      <c r="J238" s="40" t="s">
        <v>269</v>
      </c>
    </row>
    <row r="239" spans="1:10" ht="15" customHeight="1">
      <c r="A239" s="37" t="s">
        <v>14</v>
      </c>
      <c r="B239" s="38">
        <v>399</v>
      </c>
      <c r="C239" s="38">
        <v>399</v>
      </c>
      <c r="D239" s="37" t="s">
        <v>24</v>
      </c>
      <c r="E239" s="38">
        <v>8</v>
      </c>
      <c r="J239" s="40" t="s">
        <v>273</v>
      </c>
    </row>
    <row r="240" spans="1:10" ht="15" customHeight="1">
      <c r="A240" s="36" t="s">
        <v>37</v>
      </c>
      <c r="B240" s="38">
        <v>1755</v>
      </c>
      <c r="C240" s="38">
        <v>528</v>
      </c>
      <c r="D240" s="36" t="s">
        <v>50</v>
      </c>
      <c r="E240" s="38">
        <v>31.25</v>
      </c>
      <c r="J240" s="40" t="s">
        <v>288</v>
      </c>
    </row>
    <row r="241" spans="1:10" ht="15" customHeight="1">
      <c r="A241" s="37" t="s">
        <v>16</v>
      </c>
      <c r="B241" s="38">
        <v>528</v>
      </c>
      <c r="C241" s="38">
        <v>528</v>
      </c>
      <c r="D241" s="37" t="s">
        <v>17</v>
      </c>
      <c r="E241" s="38">
        <v>26</v>
      </c>
      <c r="J241" s="37" t="s">
        <v>38</v>
      </c>
    </row>
    <row r="242" spans="1:10" ht="15" customHeight="1">
      <c r="A242" s="37" t="s">
        <v>8</v>
      </c>
      <c r="B242" s="38">
        <v>667</v>
      </c>
      <c r="C242" s="38">
        <v>667</v>
      </c>
      <c r="D242" s="37" t="s">
        <v>15</v>
      </c>
      <c r="E242" s="38">
        <v>38</v>
      </c>
      <c r="J242" s="40" t="s">
        <v>294</v>
      </c>
    </row>
    <row r="243" spans="1:10" ht="15" customHeight="1">
      <c r="A243" s="37" t="s">
        <v>12</v>
      </c>
      <c r="B243" s="38">
        <v>1755</v>
      </c>
      <c r="C243" s="38">
        <v>1512</v>
      </c>
      <c r="D243" s="37" t="s">
        <v>10</v>
      </c>
      <c r="E243" s="38">
        <v>23</v>
      </c>
      <c r="J243" s="40" t="s">
        <v>279</v>
      </c>
    </row>
    <row r="244" spans="1:10" ht="15" customHeight="1">
      <c r="A244" s="36" t="s">
        <v>38</v>
      </c>
      <c r="B244" s="38">
        <v>414</v>
      </c>
      <c r="C244" s="38">
        <v>374</v>
      </c>
      <c r="D244" s="36" t="s">
        <v>51</v>
      </c>
      <c r="E244" s="38">
        <v>18.8</v>
      </c>
      <c r="J244" s="37" t="s">
        <v>39</v>
      </c>
    </row>
    <row r="245" spans="1:10" ht="15" customHeight="1">
      <c r="A245" s="37" t="s">
        <v>16</v>
      </c>
      <c r="B245" s="38">
        <v>374</v>
      </c>
      <c r="C245" s="38">
        <v>374</v>
      </c>
      <c r="D245" s="37" t="s">
        <v>17</v>
      </c>
      <c r="E245" s="38">
        <v>7</v>
      </c>
      <c r="J245" s="40" t="s">
        <v>288</v>
      </c>
    </row>
    <row r="246" spans="1:10" ht="15" customHeight="1">
      <c r="A246" s="37" t="s">
        <v>8</v>
      </c>
      <c r="B246" s="38">
        <v>414</v>
      </c>
      <c r="C246" s="38">
        <v>414</v>
      </c>
      <c r="D246" s="37" t="s">
        <v>10</v>
      </c>
      <c r="E246" s="38">
        <v>37.5</v>
      </c>
      <c r="J246" s="37" t="s">
        <v>40</v>
      </c>
    </row>
    <row r="247" spans="1:10" ht="15" customHeight="1">
      <c r="A247" s="36" t="s">
        <v>39</v>
      </c>
      <c r="B247" s="38">
        <v>345</v>
      </c>
      <c r="C247" s="38">
        <v>345</v>
      </c>
      <c r="D247" s="37" t="s">
        <v>24</v>
      </c>
      <c r="E247" s="38">
        <v>6</v>
      </c>
      <c r="J247" s="40" t="s">
        <v>269</v>
      </c>
    </row>
    <row r="248" spans="1:10" ht="15" customHeight="1">
      <c r="A248" s="37" t="s">
        <v>8</v>
      </c>
      <c r="B248" s="38">
        <v>345</v>
      </c>
      <c r="C248" s="38">
        <v>345</v>
      </c>
      <c r="D248" s="36" t="s">
        <v>52</v>
      </c>
      <c r="E248" s="38">
        <v>41</v>
      </c>
      <c r="J248" s="37" t="s">
        <v>41</v>
      </c>
    </row>
    <row r="249" spans="1:10" ht="15" customHeight="1">
      <c r="A249" s="36" t="s">
        <v>40</v>
      </c>
      <c r="B249" s="38">
        <v>987</v>
      </c>
      <c r="C249" s="38">
        <v>357</v>
      </c>
      <c r="D249" s="37" t="s">
        <v>17</v>
      </c>
      <c r="E249" s="38">
        <v>11</v>
      </c>
      <c r="J249" s="40" t="s">
        <v>270</v>
      </c>
    </row>
    <row r="250" spans="1:10" ht="15" customHeight="1">
      <c r="A250" s="37" t="s">
        <v>20</v>
      </c>
      <c r="B250" s="38">
        <v>987</v>
      </c>
      <c r="C250" s="38">
        <v>357</v>
      </c>
      <c r="D250" s="37" t="s">
        <v>15</v>
      </c>
      <c r="E250" s="38">
        <v>44</v>
      </c>
      <c r="J250" s="40" t="s">
        <v>288</v>
      </c>
    </row>
    <row r="251" spans="1:10" ht="15" customHeight="1">
      <c r="A251" s="36" t="s">
        <v>41</v>
      </c>
      <c r="B251" s="38">
        <v>1058</v>
      </c>
      <c r="C251" s="38">
        <v>252</v>
      </c>
      <c r="D251" s="37" t="s">
        <v>13</v>
      </c>
      <c r="E251" s="38">
        <v>51.25</v>
      </c>
      <c r="J251" s="37" t="s">
        <v>42</v>
      </c>
    </row>
    <row r="252" spans="1:10" ht="15" customHeight="1">
      <c r="A252" s="37" t="s">
        <v>8</v>
      </c>
      <c r="B252" s="38">
        <v>1058</v>
      </c>
      <c r="C252" s="38">
        <v>1058</v>
      </c>
      <c r="D252" s="37" t="s">
        <v>24</v>
      </c>
      <c r="E252" s="38">
        <v>47.5</v>
      </c>
      <c r="J252" s="40" t="s">
        <v>286</v>
      </c>
    </row>
    <row r="253" spans="1:10" ht="15" customHeight="1">
      <c r="A253" s="37" t="s">
        <v>20</v>
      </c>
      <c r="B253" s="38">
        <v>252</v>
      </c>
      <c r="C253" s="38">
        <v>252</v>
      </c>
      <c r="D253" s="36" t="s">
        <v>53</v>
      </c>
      <c r="E253" s="38">
        <v>36</v>
      </c>
      <c r="J253" s="40" t="s">
        <v>294</v>
      </c>
    </row>
    <row r="254" spans="1:10" ht="15" customHeight="1">
      <c r="A254" s="36" t="s">
        <v>42</v>
      </c>
      <c r="B254" s="38">
        <v>1728</v>
      </c>
      <c r="C254" s="38">
        <v>114</v>
      </c>
      <c r="D254" s="37" t="s">
        <v>24</v>
      </c>
      <c r="E254" s="38">
        <v>36</v>
      </c>
      <c r="J254" s="40" t="s">
        <v>289</v>
      </c>
    </row>
    <row r="255" spans="1:10" ht="15" customHeight="1">
      <c r="A255" s="37" t="s">
        <v>16</v>
      </c>
      <c r="B255" s="38">
        <v>352</v>
      </c>
      <c r="C255" s="38">
        <v>352</v>
      </c>
      <c r="D255" s="36" t="s">
        <v>261</v>
      </c>
      <c r="E255" s="38">
        <v>33.977777777777774</v>
      </c>
      <c r="J255" s="40" t="s">
        <v>282</v>
      </c>
    </row>
    <row r="256" spans="1:10" ht="15" customHeight="1">
      <c r="A256" s="37" t="s">
        <v>8</v>
      </c>
      <c r="B256" s="38">
        <v>897</v>
      </c>
      <c r="C256" s="38">
        <v>897</v>
      </c>
      <c r="J256" s="40" t="s">
        <v>283</v>
      </c>
    </row>
    <row r="257" spans="1:10" ht="15" customHeight="1">
      <c r="A257" s="37" t="s">
        <v>12</v>
      </c>
      <c r="B257" s="38">
        <v>1728</v>
      </c>
      <c r="C257" s="38">
        <v>270</v>
      </c>
      <c r="J257" s="40" t="s">
        <v>270</v>
      </c>
    </row>
    <row r="258" spans="1:10" ht="15" customHeight="1">
      <c r="A258" s="37" t="s">
        <v>20</v>
      </c>
      <c r="B258" s="38">
        <v>462</v>
      </c>
      <c r="C258" s="38">
        <v>462</v>
      </c>
      <c r="J258" s="40" t="s">
        <v>278</v>
      </c>
    </row>
    <row r="259" spans="1:10" ht="15" customHeight="1">
      <c r="A259" s="37" t="s">
        <v>14</v>
      </c>
      <c r="B259" s="38">
        <v>1178</v>
      </c>
      <c r="C259" s="38">
        <v>114</v>
      </c>
      <c r="J259" s="37" t="s">
        <v>43</v>
      </c>
    </row>
    <row r="260" spans="1:10" ht="15" customHeight="1">
      <c r="A260" s="36" t="s">
        <v>43</v>
      </c>
      <c r="B260" s="38">
        <v>1254</v>
      </c>
      <c r="C260" s="38">
        <v>270</v>
      </c>
      <c r="J260" s="40" t="s">
        <v>287</v>
      </c>
    </row>
    <row r="261" spans="1:10" ht="15" customHeight="1">
      <c r="A261" s="37" t="s">
        <v>16</v>
      </c>
      <c r="B261" s="38">
        <v>1254</v>
      </c>
      <c r="C261" s="38">
        <v>1254</v>
      </c>
      <c r="J261" s="40" t="s">
        <v>270</v>
      </c>
    </row>
    <row r="262" spans="1:10" ht="15" customHeight="1">
      <c r="A262" s="37" t="s">
        <v>12</v>
      </c>
      <c r="B262" s="38">
        <v>459</v>
      </c>
      <c r="C262" s="38">
        <v>270</v>
      </c>
      <c r="J262" s="40" t="s">
        <v>274</v>
      </c>
    </row>
    <row r="263" spans="1:10" ht="15" customHeight="1">
      <c r="A263" s="36" t="s">
        <v>44</v>
      </c>
      <c r="B263" s="38">
        <v>1026</v>
      </c>
      <c r="C263" s="38">
        <v>220</v>
      </c>
      <c r="J263" s="37" t="s">
        <v>44</v>
      </c>
    </row>
    <row r="264" spans="1:10" ht="15" customHeight="1">
      <c r="A264" s="37" t="s">
        <v>16</v>
      </c>
      <c r="B264" s="38">
        <v>880</v>
      </c>
      <c r="C264" s="38">
        <v>220</v>
      </c>
      <c r="J264" s="40" t="s">
        <v>294</v>
      </c>
    </row>
    <row r="265" spans="1:10" ht="15" customHeight="1">
      <c r="A265" s="37" t="s">
        <v>14</v>
      </c>
      <c r="B265" s="38">
        <v>1026</v>
      </c>
      <c r="C265" s="38">
        <v>627</v>
      </c>
      <c r="J265" s="40" t="s">
        <v>287</v>
      </c>
    </row>
    <row r="266" spans="1:10" ht="15" customHeight="1">
      <c r="A266" s="36" t="s">
        <v>45</v>
      </c>
      <c r="B266" s="38">
        <v>1216</v>
      </c>
      <c r="C266" s="38">
        <v>230</v>
      </c>
      <c r="J266" s="40" t="s">
        <v>285</v>
      </c>
    </row>
    <row r="267" spans="1:10" ht="15" customHeight="1">
      <c r="A267" s="37" t="s">
        <v>16</v>
      </c>
      <c r="B267" s="38">
        <v>550</v>
      </c>
      <c r="C267" s="38">
        <v>330</v>
      </c>
      <c r="J267" s="40" t="s">
        <v>279</v>
      </c>
    </row>
    <row r="268" spans="1:10" ht="15" customHeight="1">
      <c r="A268" s="37" t="s">
        <v>8</v>
      </c>
      <c r="B268" s="38">
        <v>713</v>
      </c>
      <c r="C268" s="38">
        <v>230</v>
      </c>
      <c r="J268" s="37" t="s">
        <v>45</v>
      </c>
    </row>
    <row r="269" spans="1:10" ht="15" customHeight="1">
      <c r="A269" s="37" t="s">
        <v>14</v>
      </c>
      <c r="B269" s="38">
        <v>1216</v>
      </c>
      <c r="C269" s="38">
        <v>760</v>
      </c>
      <c r="J269" s="40" t="s">
        <v>294</v>
      </c>
    </row>
    <row r="270" spans="1:10" ht="15" customHeight="1">
      <c r="A270" s="36" t="s">
        <v>46</v>
      </c>
      <c r="B270" s="38">
        <v>1161</v>
      </c>
      <c r="C270" s="38">
        <v>418</v>
      </c>
      <c r="J270" s="40" t="s">
        <v>282</v>
      </c>
    </row>
    <row r="271" spans="1:10" ht="15" customHeight="1">
      <c r="A271" s="37" t="s">
        <v>16</v>
      </c>
      <c r="B271" s="38">
        <v>418</v>
      </c>
      <c r="C271" s="38">
        <v>418</v>
      </c>
      <c r="J271" s="40" t="s">
        <v>295</v>
      </c>
    </row>
    <row r="272" spans="1:10" ht="15" customHeight="1">
      <c r="A272" s="37" t="s">
        <v>12</v>
      </c>
      <c r="B272" s="38">
        <v>1161</v>
      </c>
      <c r="C272" s="38">
        <v>1161</v>
      </c>
      <c r="J272" s="40" t="s">
        <v>280</v>
      </c>
    </row>
    <row r="273" spans="1:10" ht="15" customHeight="1">
      <c r="A273" s="36" t="s">
        <v>47</v>
      </c>
      <c r="B273" s="38">
        <v>1281</v>
      </c>
      <c r="C273" s="38">
        <v>594</v>
      </c>
      <c r="J273" s="40" t="s">
        <v>296</v>
      </c>
    </row>
    <row r="274" spans="1:10" ht="15" customHeight="1">
      <c r="A274" s="37" t="s">
        <v>16</v>
      </c>
      <c r="B274" s="38">
        <v>770</v>
      </c>
      <c r="C274" s="38">
        <v>594</v>
      </c>
      <c r="J274" s="40" t="s">
        <v>288</v>
      </c>
    </row>
    <row r="275" spans="1:10" ht="15" customHeight="1">
      <c r="A275" s="37" t="s">
        <v>20</v>
      </c>
      <c r="B275" s="38">
        <v>1281</v>
      </c>
      <c r="C275" s="38">
        <v>1281</v>
      </c>
      <c r="J275" s="37" t="s">
        <v>46</v>
      </c>
    </row>
    <row r="276" spans="1:10" ht="15" customHeight="1">
      <c r="A276" s="37" t="s">
        <v>14</v>
      </c>
      <c r="B276" s="38">
        <v>931</v>
      </c>
      <c r="C276" s="38">
        <v>931</v>
      </c>
      <c r="J276" s="40" t="s">
        <v>283</v>
      </c>
    </row>
    <row r="277" spans="1:10" ht="15" customHeight="1">
      <c r="A277" s="36" t="s">
        <v>48</v>
      </c>
      <c r="B277" s="38">
        <v>570</v>
      </c>
      <c r="C277" s="38">
        <v>242</v>
      </c>
      <c r="J277" s="37" t="s">
        <v>47</v>
      </c>
    </row>
    <row r="278" spans="1:10" ht="15" customHeight="1">
      <c r="A278" s="37" t="s">
        <v>16</v>
      </c>
      <c r="B278" s="38">
        <v>242</v>
      </c>
      <c r="C278" s="38">
        <v>242</v>
      </c>
      <c r="J278" s="40" t="s">
        <v>289</v>
      </c>
    </row>
    <row r="279" spans="1:10" ht="15" customHeight="1">
      <c r="A279" s="37" t="s">
        <v>20</v>
      </c>
      <c r="B279" s="38">
        <v>567</v>
      </c>
      <c r="C279" s="38">
        <v>567</v>
      </c>
      <c r="J279" s="40" t="s">
        <v>297</v>
      </c>
    </row>
    <row r="280" spans="1:10" ht="15" customHeight="1">
      <c r="A280" s="37" t="s">
        <v>14</v>
      </c>
      <c r="B280" s="38">
        <v>570</v>
      </c>
      <c r="C280" s="38">
        <v>570</v>
      </c>
      <c r="J280" s="40" t="s">
        <v>278</v>
      </c>
    </row>
    <row r="281" spans="1:10" ht="15" customHeight="1">
      <c r="A281" s="36" t="s">
        <v>49</v>
      </c>
      <c r="B281" s="38">
        <v>1197</v>
      </c>
      <c r="C281" s="38">
        <v>152</v>
      </c>
      <c r="J281" s="37" t="s">
        <v>48</v>
      </c>
    </row>
    <row r="282" spans="1:10" ht="15" customHeight="1">
      <c r="A282" s="37" t="s">
        <v>12</v>
      </c>
      <c r="B282" s="38">
        <v>675</v>
      </c>
      <c r="C282" s="38">
        <v>675</v>
      </c>
      <c r="J282" s="40" t="s">
        <v>269</v>
      </c>
    </row>
    <row r="283" spans="1:10" ht="15" customHeight="1">
      <c r="A283" s="37" t="s">
        <v>20</v>
      </c>
      <c r="B283" s="38">
        <v>1197</v>
      </c>
      <c r="C283" s="38">
        <v>1197</v>
      </c>
      <c r="J283" s="40" t="s">
        <v>280</v>
      </c>
    </row>
    <row r="284" spans="1:10" ht="15" customHeight="1">
      <c r="A284" s="37" t="s">
        <v>14</v>
      </c>
      <c r="B284" s="38">
        <v>437</v>
      </c>
      <c r="C284" s="38">
        <v>152</v>
      </c>
      <c r="J284" s="37" t="s">
        <v>49</v>
      </c>
    </row>
    <row r="285" spans="1:10" ht="15" customHeight="1">
      <c r="A285" s="36" t="s">
        <v>50</v>
      </c>
      <c r="B285" s="38">
        <v>874</v>
      </c>
      <c r="C285" s="38">
        <v>483</v>
      </c>
      <c r="J285" s="40" t="s">
        <v>284</v>
      </c>
    </row>
    <row r="286" spans="1:10" ht="15" customHeight="1">
      <c r="A286" s="37" t="s">
        <v>16</v>
      </c>
      <c r="B286" s="38">
        <v>572</v>
      </c>
      <c r="C286" s="38">
        <v>572</v>
      </c>
      <c r="J286" s="40" t="s">
        <v>269</v>
      </c>
    </row>
    <row r="287" spans="1:10" ht="15" customHeight="1">
      <c r="A287" s="37" t="s">
        <v>8</v>
      </c>
      <c r="B287" s="38">
        <v>874</v>
      </c>
      <c r="C287" s="38">
        <v>874</v>
      </c>
      <c r="J287" s="40" t="s">
        <v>281</v>
      </c>
    </row>
    <row r="288" spans="1:10" ht="15" customHeight="1">
      <c r="A288" s="37" t="s">
        <v>20</v>
      </c>
      <c r="B288" s="38">
        <v>483</v>
      </c>
      <c r="C288" s="38">
        <v>483</v>
      </c>
      <c r="J288" s="37" t="s">
        <v>50</v>
      </c>
    </row>
    <row r="289" spans="1:10" ht="15" customHeight="1">
      <c r="A289" s="36" t="s">
        <v>51</v>
      </c>
      <c r="B289" s="38">
        <v>1113</v>
      </c>
      <c r="C289" s="38">
        <v>132</v>
      </c>
      <c r="J289" s="40" t="s">
        <v>286</v>
      </c>
    </row>
    <row r="290" spans="1:10" ht="15" customHeight="1">
      <c r="A290" s="37" t="s">
        <v>16</v>
      </c>
      <c r="B290" s="38">
        <v>154</v>
      </c>
      <c r="C290" s="38">
        <v>132</v>
      </c>
      <c r="J290" s="40" t="s">
        <v>282</v>
      </c>
    </row>
    <row r="291" spans="1:10" ht="15" customHeight="1">
      <c r="A291" s="37" t="s">
        <v>12</v>
      </c>
      <c r="B291" s="38">
        <v>594</v>
      </c>
      <c r="C291" s="38">
        <v>594</v>
      </c>
      <c r="J291" s="37" t="s">
        <v>51</v>
      </c>
    </row>
    <row r="292" spans="1:10" ht="15" customHeight="1">
      <c r="A292" s="37" t="s">
        <v>20</v>
      </c>
      <c r="B292" s="38">
        <v>1113</v>
      </c>
      <c r="C292" s="38">
        <v>1113</v>
      </c>
      <c r="J292" s="40" t="s">
        <v>289</v>
      </c>
    </row>
    <row r="293" spans="1:10" ht="15" customHeight="1">
      <c r="A293" s="36" t="s">
        <v>52</v>
      </c>
      <c r="B293" s="38">
        <v>1232</v>
      </c>
      <c r="C293" s="38">
        <v>209</v>
      </c>
      <c r="J293" s="40" t="s">
        <v>291</v>
      </c>
    </row>
    <row r="294" spans="1:10" ht="15" customHeight="1">
      <c r="A294" s="37" t="s">
        <v>16</v>
      </c>
      <c r="B294" s="38">
        <v>1232</v>
      </c>
      <c r="C294" s="38">
        <v>770</v>
      </c>
      <c r="J294" s="40" t="s">
        <v>273</v>
      </c>
    </row>
    <row r="295" spans="1:10" ht="15" customHeight="1">
      <c r="A295" s="37" t="s">
        <v>8</v>
      </c>
      <c r="B295" s="38">
        <v>1219</v>
      </c>
      <c r="C295" s="38">
        <v>1219</v>
      </c>
      <c r="J295" s="40" t="s">
        <v>278</v>
      </c>
    </row>
    <row r="296" spans="1:10" ht="15" customHeight="1">
      <c r="A296" s="37" t="s">
        <v>12</v>
      </c>
      <c r="B296" s="38">
        <v>1188</v>
      </c>
      <c r="C296" s="38">
        <v>1134</v>
      </c>
      <c r="J296" s="37" t="s">
        <v>52</v>
      </c>
    </row>
    <row r="297" spans="1:10" ht="15" customHeight="1">
      <c r="A297" s="37" t="s">
        <v>14</v>
      </c>
      <c r="B297" s="38">
        <v>1102</v>
      </c>
      <c r="C297" s="38">
        <v>209</v>
      </c>
      <c r="J297" s="40" t="s">
        <v>272</v>
      </c>
    </row>
    <row r="298" spans="1:10" ht="15" customHeight="1">
      <c r="A298" s="36" t="s">
        <v>53</v>
      </c>
      <c r="B298" s="38">
        <v>756</v>
      </c>
      <c r="C298" s="38">
        <v>756</v>
      </c>
      <c r="J298" s="40" t="s">
        <v>295</v>
      </c>
    </row>
    <row r="299" spans="1:10" ht="15" customHeight="1">
      <c r="A299" s="37" t="s">
        <v>20</v>
      </c>
      <c r="B299" s="38">
        <v>756</v>
      </c>
      <c r="C299" s="38">
        <v>756</v>
      </c>
      <c r="J299" s="40" t="s">
        <v>270</v>
      </c>
    </row>
    <row r="300" spans="1:10" ht="15" customHeight="1">
      <c r="A300" s="36" t="s">
        <v>261</v>
      </c>
      <c r="B300" s="38">
        <v>5000</v>
      </c>
      <c r="C300" s="38">
        <v>114</v>
      </c>
      <c r="J300" s="40" t="s">
        <v>285</v>
      </c>
    </row>
    <row r="301" spans="1:10" ht="15" customHeight="1">
      <c r="J301" s="40" t="s">
        <v>273</v>
      </c>
    </row>
    <row r="302" spans="1:10" ht="15" customHeight="1">
      <c r="J302" s="40" t="s">
        <v>288</v>
      </c>
    </row>
    <row r="303" spans="1:10" ht="15" customHeight="1">
      <c r="J303" s="37" t="s">
        <v>53</v>
      </c>
    </row>
    <row r="304" spans="1:10" ht="15" customHeight="1">
      <c r="J304" s="40" t="s">
        <v>288</v>
      </c>
    </row>
    <row r="305" spans="10:10" ht="15" customHeight="1">
      <c r="J305" s="36" t="s">
        <v>261</v>
      </c>
    </row>
  </sheetData>
  <autoFilter ref="A1:H136"/>
  <mergeCells count="1">
    <mergeCell ref="J3:R20"/>
  </mergeCells>
  <pageMargins left="0.7" right="0.7" top="0.75" bottom="0.75" header="0" footer="0"/>
  <pageSetup orientation="landscape"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K336"/>
  <sheetViews>
    <sheetView zoomScale="77" zoomScaleNormal="100" workbookViewId="0">
      <selection activeCell="F30" sqref="F30"/>
    </sheetView>
  </sheetViews>
  <sheetFormatPr defaultColWidth="14.4140625" defaultRowHeight="15" customHeight="1"/>
  <cols>
    <col min="1" max="1" width="13.9140625" customWidth="1"/>
    <col min="2" max="2" width="14.9140625" customWidth="1"/>
    <col min="3" max="4" width="8.83203125" customWidth="1"/>
    <col min="5" max="5" width="19.4140625" customWidth="1"/>
    <col min="6" max="18" width="8.83203125" customWidth="1"/>
    <col min="19" max="19" width="12.9140625" customWidth="1"/>
    <col min="20" max="20" width="15.58203125" customWidth="1"/>
    <col min="21" max="21" width="7.4140625" customWidth="1"/>
    <col min="22" max="22" width="4.5" customWidth="1"/>
    <col min="23" max="23" width="4.6640625" customWidth="1"/>
    <col min="24" max="24" width="5.9140625" customWidth="1"/>
    <col min="25" max="26" width="4.5" customWidth="1"/>
    <col min="27" max="28" width="3.25" customWidth="1"/>
    <col min="29" max="29" width="5.75" customWidth="1"/>
    <col min="30" max="30" width="4.75" customWidth="1"/>
    <col min="31" max="31" width="2.9140625" customWidth="1"/>
    <col min="32" max="32" width="13.75" customWidth="1"/>
    <col min="33" max="33" width="14.9140625" customWidth="1"/>
    <col min="34" max="34" width="13.5" customWidth="1"/>
    <col min="35" max="35" width="10.6640625" customWidth="1"/>
    <col min="36" max="36" width="8.75" customWidth="1"/>
    <col min="37" max="37" width="11.25" customWidth="1"/>
    <col min="38" max="38" width="9.83203125" customWidth="1"/>
    <col min="39" max="39" width="8.6640625" customWidth="1"/>
    <col min="40" max="40" width="10.08203125" customWidth="1"/>
    <col min="41" max="41" width="7.6640625" customWidth="1"/>
    <col min="42" max="42" width="10" customWidth="1"/>
    <col min="43" max="43" width="9.33203125" customWidth="1"/>
    <col min="44" max="44" width="7.33203125" customWidth="1"/>
    <col min="45" max="45" width="8.58203125" customWidth="1"/>
    <col min="46" max="46" width="8.9140625" customWidth="1"/>
    <col min="47" max="47" width="8.33203125" customWidth="1"/>
    <col min="48" max="48" width="8.6640625" customWidth="1"/>
    <col min="49" max="49" width="4.9140625" customWidth="1"/>
    <col min="50" max="50" width="4.6640625" customWidth="1"/>
    <col min="51" max="51" width="4.5" customWidth="1"/>
    <col min="52" max="52" width="5.08203125" customWidth="1"/>
    <col min="53" max="53" width="10.83203125" customWidth="1"/>
    <col min="54" max="55" width="11.25" customWidth="1"/>
    <col min="56" max="56" width="21.5" customWidth="1"/>
    <col min="57" max="57" width="11.6640625" customWidth="1"/>
    <col min="58" max="58" width="12.75" customWidth="1"/>
    <col min="59" max="61" width="3.83203125" customWidth="1"/>
    <col min="62" max="62" width="11.75" customWidth="1"/>
    <col min="63" max="63" width="18.9140625" customWidth="1"/>
    <col min="64" max="64" width="12" customWidth="1"/>
    <col min="65" max="134" width="3.83203125" customWidth="1"/>
    <col min="135" max="135" width="11" customWidth="1"/>
  </cols>
  <sheetData>
    <row r="1" spans="1:63" ht="24" customHeight="1" thickBot="1">
      <c r="A1" s="8" t="s">
        <v>0</v>
      </c>
      <c r="B1" s="9" t="s">
        <v>1</v>
      </c>
      <c r="C1" s="9" t="s">
        <v>2</v>
      </c>
      <c r="D1" s="9" t="s">
        <v>54</v>
      </c>
      <c r="E1" s="9" t="s">
        <v>55</v>
      </c>
      <c r="F1" s="9" t="s">
        <v>3</v>
      </c>
      <c r="G1" s="9" t="s">
        <v>4</v>
      </c>
      <c r="H1" s="9" t="s">
        <v>5</v>
      </c>
      <c r="I1" s="9" t="s">
        <v>54</v>
      </c>
      <c r="J1" s="9" t="s">
        <v>7</v>
      </c>
      <c r="K1" s="10" t="s">
        <v>56</v>
      </c>
      <c r="L1" s="10" t="s">
        <v>57</v>
      </c>
      <c r="M1" s="10" t="s">
        <v>58</v>
      </c>
      <c r="N1" s="10" t="s">
        <v>59</v>
      </c>
      <c r="O1" s="10" t="s">
        <v>60</v>
      </c>
      <c r="P1" s="10" t="s">
        <v>61</v>
      </c>
      <c r="Q1" s="11"/>
      <c r="R1" s="11"/>
      <c r="S1" s="12" t="s">
        <v>62</v>
      </c>
    </row>
    <row r="2" spans="1:63" ht="14.25" customHeight="1" thickBot="1">
      <c r="A2" s="13">
        <v>40553</v>
      </c>
      <c r="B2" s="14" t="s">
        <v>8</v>
      </c>
      <c r="C2" s="14" t="s">
        <v>9</v>
      </c>
      <c r="D2" s="15">
        <v>1449</v>
      </c>
      <c r="E2" s="14" t="s">
        <v>63</v>
      </c>
      <c r="F2" s="14" t="s">
        <v>10</v>
      </c>
      <c r="G2" s="14" t="s">
        <v>64</v>
      </c>
      <c r="H2" s="16">
        <v>63</v>
      </c>
      <c r="I2" s="15">
        <v>1449</v>
      </c>
      <c r="J2" s="16">
        <v>693</v>
      </c>
      <c r="K2" s="17">
        <v>72</v>
      </c>
      <c r="L2" s="17">
        <v>70</v>
      </c>
      <c r="M2" s="17">
        <v>60</v>
      </c>
      <c r="N2" s="17">
        <v>61</v>
      </c>
      <c r="O2" s="17">
        <v>263</v>
      </c>
      <c r="P2" s="11" t="s">
        <v>65</v>
      </c>
      <c r="Q2" s="11"/>
      <c r="R2" s="11"/>
      <c r="S2" s="18"/>
      <c r="AF2" s="11" t="s">
        <v>321</v>
      </c>
      <c r="AG2" s="34"/>
      <c r="AH2" t="s">
        <v>323</v>
      </c>
      <c r="BA2" t="s">
        <v>328</v>
      </c>
      <c r="BD2" t="s">
        <v>333</v>
      </c>
      <c r="BJ2" t="s">
        <v>336</v>
      </c>
    </row>
    <row r="3" spans="1:63" ht="14.25" customHeight="1" thickBot="1">
      <c r="A3" s="13">
        <v>40544</v>
      </c>
      <c r="B3" s="14" t="s">
        <v>12</v>
      </c>
      <c r="C3" s="14" t="s">
        <v>9</v>
      </c>
      <c r="D3" s="16">
        <v>432</v>
      </c>
      <c r="E3" s="14" t="s">
        <v>63</v>
      </c>
      <c r="F3" s="14" t="s">
        <v>13</v>
      </c>
      <c r="G3" s="14" t="s">
        <v>66</v>
      </c>
      <c r="H3" s="16">
        <v>16</v>
      </c>
      <c r="I3" s="16">
        <v>432</v>
      </c>
      <c r="J3" s="16">
        <v>234</v>
      </c>
      <c r="K3" s="17">
        <v>97</v>
      </c>
      <c r="L3" s="17">
        <v>65</v>
      </c>
      <c r="M3" s="17">
        <v>87</v>
      </c>
      <c r="N3" s="17">
        <v>92</v>
      </c>
      <c r="O3" s="17">
        <v>341</v>
      </c>
      <c r="P3" s="11" t="s">
        <v>65</v>
      </c>
      <c r="Q3" s="11"/>
      <c r="R3" s="11"/>
      <c r="S3" s="19" t="s">
        <v>67</v>
      </c>
      <c r="AF3" s="9" t="s">
        <v>327</v>
      </c>
      <c r="AH3" s="8" t="s">
        <v>0</v>
      </c>
      <c r="AI3" s="9" t="s">
        <v>1</v>
      </c>
      <c r="AJ3" s="9" t="s">
        <v>2</v>
      </c>
      <c r="AK3" s="9" t="s">
        <v>54</v>
      </c>
      <c r="AL3" s="9" t="s">
        <v>55</v>
      </c>
      <c r="AM3" s="9" t="s">
        <v>3</v>
      </c>
      <c r="AN3" s="9" t="s">
        <v>4</v>
      </c>
      <c r="AO3" s="9" t="s">
        <v>5</v>
      </c>
      <c r="AP3" s="9" t="s">
        <v>54</v>
      </c>
      <c r="AQ3" s="9" t="s">
        <v>7</v>
      </c>
      <c r="AR3" s="10" t="s">
        <v>56</v>
      </c>
      <c r="AS3" s="10" t="s">
        <v>57</v>
      </c>
      <c r="AT3" s="10" t="s">
        <v>58</v>
      </c>
      <c r="AU3" s="10" t="s">
        <v>59</v>
      </c>
      <c r="AV3" s="10" t="s">
        <v>60</v>
      </c>
      <c r="AW3" s="10" t="s">
        <v>61</v>
      </c>
      <c r="BA3" s="34" t="s">
        <v>329</v>
      </c>
      <c r="BB3" s="34" t="s">
        <v>330</v>
      </c>
      <c r="BD3" s="35" t="s">
        <v>4</v>
      </c>
      <c r="BE3" s="34" t="s">
        <v>334</v>
      </c>
      <c r="BF3" s="34" t="s">
        <v>335</v>
      </c>
      <c r="BJ3" s="35" t="s">
        <v>61</v>
      </c>
      <c r="BK3" t="s">
        <v>314</v>
      </c>
    </row>
    <row r="4" spans="1:63" ht="14.25" customHeight="1" thickBot="1">
      <c r="A4" s="13">
        <v>40561</v>
      </c>
      <c r="B4" s="14" t="s">
        <v>14</v>
      </c>
      <c r="C4" s="14" t="s">
        <v>9</v>
      </c>
      <c r="D4" s="16">
        <v>456</v>
      </c>
      <c r="E4" s="14" t="s">
        <v>63</v>
      </c>
      <c r="F4" s="14" t="s">
        <v>15</v>
      </c>
      <c r="G4" s="14" t="s">
        <v>68</v>
      </c>
      <c r="H4" s="16">
        <v>24</v>
      </c>
      <c r="I4" s="16">
        <v>456</v>
      </c>
      <c r="J4" s="16">
        <v>234</v>
      </c>
      <c r="K4" s="17">
        <v>95</v>
      </c>
      <c r="L4" s="17">
        <v>95</v>
      </c>
      <c r="M4" s="17">
        <v>100</v>
      </c>
      <c r="N4" s="17">
        <v>86</v>
      </c>
      <c r="O4" s="17">
        <v>376</v>
      </c>
      <c r="P4" s="11" t="s">
        <v>65</v>
      </c>
      <c r="Q4" s="11"/>
      <c r="R4" s="11"/>
      <c r="S4" s="19" t="s">
        <v>69</v>
      </c>
      <c r="AF4" s="14" t="s">
        <v>64</v>
      </c>
      <c r="AH4" s="13">
        <v>40553</v>
      </c>
      <c r="AI4" s="14" t="str">
        <f>UPPER(B2)</f>
        <v>CARLOTA</v>
      </c>
      <c r="AJ4" s="14" t="s">
        <v>9</v>
      </c>
      <c r="AK4" s="15">
        <v>1449</v>
      </c>
      <c r="AL4" s="14" t="s">
        <v>63</v>
      </c>
      <c r="AM4" s="14" t="s">
        <v>10</v>
      </c>
      <c r="AN4" s="14" t="str">
        <f>PROPER(G2)</f>
        <v>Anirudh</v>
      </c>
      <c r="AO4" s="16">
        <v>63</v>
      </c>
      <c r="AP4" s="15">
        <v>1449</v>
      </c>
      <c r="AQ4" s="16">
        <v>693</v>
      </c>
      <c r="AR4" s="17">
        <v>72</v>
      </c>
      <c r="AS4" s="17">
        <v>70</v>
      </c>
      <c r="AT4" s="17">
        <v>60</v>
      </c>
      <c r="AU4" s="17">
        <v>61</v>
      </c>
      <c r="AV4" s="17">
        <v>263</v>
      </c>
      <c r="AW4" s="11" t="s">
        <v>65</v>
      </c>
      <c r="BA4" s="38">
        <v>263</v>
      </c>
      <c r="BB4" s="38">
        <v>385</v>
      </c>
      <c r="BD4" s="36" t="s">
        <v>66</v>
      </c>
      <c r="BE4" s="38">
        <v>341</v>
      </c>
      <c r="BF4" s="38">
        <v>341</v>
      </c>
      <c r="BJ4" s="36" t="s">
        <v>71</v>
      </c>
      <c r="BK4" s="38">
        <v>319.469696969697</v>
      </c>
    </row>
    <row r="5" spans="1:63" ht="14.25" customHeight="1" thickBot="1">
      <c r="A5" s="13">
        <v>40606</v>
      </c>
      <c r="B5" s="14" t="s">
        <v>14</v>
      </c>
      <c r="C5" s="14" t="s">
        <v>9</v>
      </c>
      <c r="D5" s="16">
        <v>456</v>
      </c>
      <c r="E5" s="14" t="s">
        <v>63</v>
      </c>
      <c r="F5" s="14" t="s">
        <v>15</v>
      </c>
      <c r="G5" s="14" t="s">
        <v>70</v>
      </c>
      <c r="H5" s="16">
        <v>24</v>
      </c>
      <c r="I5" s="16">
        <v>456</v>
      </c>
      <c r="J5" s="16">
        <v>192</v>
      </c>
      <c r="K5" s="17">
        <v>81</v>
      </c>
      <c r="L5" s="17">
        <v>74</v>
      </c>
      <c r="M5" s="17">
        <v>89</v>
      </c>
      <c r="N5" s="17">
        <v>81</v>
      </c>
      <c r="O5" s="17">
        <v>325</v>
      </c>
      <c r="P5" s="11" t="s">
        <v>71</v>
      </c>
      <c r="Q5" s="11"/>
      <c r="R5" s="11"/>
      <c r="S5" s="19" t="s">
        <v>72</v>
      </c>
      <c r="AF5" s="14" t="s">
        <v>66</v>
      </c>
      <c r="AH5" s="13">
        <v>40544</v>
      </c>
      <c r="AI5" s="14" t="str">
        <f t="shared" ref="AI5:AI68" si="0">UPPER(B3)</f>
        <v>QUAD</v>
      </c>
      <c r="AJ5" s="14" t="s">
        <v>9</v>
      </c>
      <c r="AK5" s="16">
        <v>432</v>
      </c>
      <c r="AL5" s="14" t="s">
        <v>63</v>
      </c>
      <c r="AM5" s="14" t="s">
        <v>13</v>
      </c>
      <c r="AN5" s="14" t="str">
        <f t="shared" ref="AN5:AN68" si="1">PROPER(G3)</f>
        <v>Abishek</v>
      </c>
      <c r="AO5" s="16">
        <v>16</v>
      </c>
      <c r="AP5" s="16">
        <v>432</v>
      </c>
      <c r="AQ5" s="16">
        <v>234</v>
      </c>
      <c r="AR5" s="17">
        <v>97</v>
      </c>
      <c r="AS5" s="17">
        <v>65</v>
      </c>
      <c r="AT5" s="17">
        <v>87</v>
      </c>
      <c r="AU5" s="17">
        <v>92</v>
      </c>
      <c r="AV5" s="17">
        <v>341</v>
      </c>
      <c r="AW5" s="11" t="s">
        <v>65</v>
      </c>
      <c r="BD5" s="36" t="s">
        <v>64</v>
      </c>
      <c r="BE5" s="38">
        <v>263</v>
      </c>
      <c r="BF5" s="38">
        <v>263</v>
      </c>
      <c r="BJ5" s="36" t="s">
        <v>65</v>
      </c>
      <c r="BK5" s="38">
        <v>322.49275362318838</v>
      </c>
    </row>
    <row r="6" spans="1:63" ht="14.25" customHeight="1" thickBot="1">
      <c r="A6" s="13">
        <v>40572</v>
      </c>
      <c r="B6" s="14" t="s">
        <v>16</v>
      </c>
      <c r="C6" s="14" t="s">
        <v>9</v>
      </c>
      <c r="D6" s="15">
        <v>1100</v>
      </c>
      <c r="E6" s="14" t="s">
        <v>63</v>
      </c>
      <c r="F6" s="14" t="s">
        <v>17</v>
      </c>
      <c r="G6" s="14" t="s">
        <v>73</v>
      </c>
      <c r="H6" s="16">
        <v>50</v>
      </c>
      <c r="I6" s="15">
        <v>1100</v>
      </c>
      <c r="J6" s="16">
        <v>500</v>
      </c>
      <c r="K6" s="17">
        <v>81</v>
      </c>
      <c r="L6" s="17">
        <v>68</v>
      </c>
      <c r="M6" s="17">
        <v>63</v>
      </c>
      <c r="N6" s="17">
        <v>82</v>
      </c>
      <c r="O6" s="17">
        <v>294</v>
      </c>
      <c r="P6" s="11" t="s">
        <v>71</v>
      </c>
      <c r="Q6" s="11"/>
      <c r="R6" s="11"/>
      <c r="S6" s="19" t="s">
        <v>74</v>
      </c>
      <c r="AF6" s="14" t="s">
        <v>68</v>
      </c>
      <c r="AH6" s="13">
        <v>40561</v>
      </c>
      <c r="AI6" s="14" t="str">
        <f t="shared" si="0"/>
        <v>SUNSHINE</v>
      </c>
      <c r="AJ6" s="14" t="s">
        <v>9</v>
      </c>
      <c r="AK6" s="16">
        <v>456</v>
      </c>
      <c r="AL6" s="14" t="s">
        <v>63</v>
      </c>
      <c r="AM6" s="14" t="s">
        <v>15</v>
      </c>
      <c r="AN6" s="14" t="str">
        <f t="shared" si="1"/>
        <v>Raghav</v>
      </c>
      <c r="AO6" s="16">
        <v>24</v>
      </c>
      <c r="AP6" s="16">
        <v>456</v>
      </c>
      <c r="AQ6" s="16">
        <v>234</v>
      </c>
      <c r="AR6" s="17">
        <v>95</v>
      </c>
      <c r="AS6" s="17">
        <v>95</v>
      </c>
      <c r="AT6" s="17">
        <v>100</v>
      </c>
      <c r="AU6" s="17">
        <v>86</v>
      </c>
      <c r="AV6" s="17">
        <v>376</v>
      </c>
      <c r="AW6" s="11" t="s">
        <v>65</v>
      </c>
      <c r="BA6" t="s">
        <v>331</v>
      </c>
      <c r="BD6" s="36" t="s">
        <v>18</v>
      </c>
      <c r="BE6" s="38">
        <v>1211</v>
      </c>
      <c r="BF6" s="38">
        <v>1211</v>
      </c>
      <c r="BJ6" s="36" t="s">
        <v>261</v>
      </c>
      <c r="BK6" s="38">
        <v>321.01481481481483</v>
      </c>
    </row>
    <row r="7" spans="1:63" ht="14.25" customHeight="1" thickBot="1">
      <c r="A7" s="13">
        <v>40565</v>
      </c>
      <c r="B7" s="14" t="s">
        <v>16</v>
      </c>
      <c r="C7" s="14" t="s">
        <v>19</v>
      </c>
      <c r="D7" s="15">
        <v>1166</v>
      </c>
      <c r="E7" s="14" t="s">
        <v>63</v>
      </c>
      <c r="F7" s="14" t="s">
        <v>10</v>
      </c>
      <c r="G7" s="14" t="s">
        <v>18</v>
      </c>
      <c r="H7" s="16">
        <v>53</v>
      </c>
      <c r="I7" s="15">
        <v>1166</v>
      </c>
      <c r="J7" s="16">
        <v>530</v>
      </c>
      <c r="K7" s="17">
        <v>91</v>
      </c>
      <c r="L7" s="17">
        <v>65</v>
      </c>
      <c r="M7" s="17">
        <v>66</v>
      </c>
      <c r="N7" s="17">
        <v>61</v>
      </c>
      <c r="O7" s="17">
        <v>283</v>
      </c>
      <c r="P7" s="11" t="s">
        <v>65</v>
      </c>
      <c r="Q7" s="11"/>
      <c r="R7" s="11"/>
      <c r="S7" s="19" t="s">
        <v>75</v>
      </c>
      <c r="AF7" s="14" t="s">
        <v>70</v>
      </c>
      <c r="AH7" s="13">
        <v>40606</v>
      </c>
      <c r="AI7" s="14" t="str">
        <f t="shared" si="0"/>
        <v>SUNSHINE</v>
      </c>
      <c r="AJ7" s="14" t="s">
        <v>9</v>
      </c>
      <c r="AK7" s="16">
        <v>456</v>
      </c>
      <c r="AL7" s="14" t="s">
        <v>63</v>
      </c>
      <c r="AM7" s="14" t="s">
        <v>15</v>
      </c>
      <c r="AN7" s="14" t="str">
        <f t="shared" si="1"/>
        <v>Seetha</v>
      </c>
      <c r="AO7" s="16">
        <v>24</v>
      </c>
      <c r="AP7" s="16">
        <v>456</v>
      </c>
      <c r="AQ7" s="16">
        <v>192</v>
      </c>
      <c r="AR7" s="17">
        <v>81</v>
      </c>
      <c r="AS7" s="17">
        <v>74</v>
      </c>
      <c r="AT7" s="17">
        <v>89</v>
      </c>
      <c r="AU7" s="17">
        <v>81</v>
      </c>
      <c r="AV7" s="17">
        <v>325</v>
      </c>
      <c r="AW7" s="11" t="s">
        <v>71</v>
      </c>
      <c r="BA7" s="9" t="s">
        <v>4</v>
      </c>
      <c r="BB7" s="9" t="s">
        <v>332</v>
      </c>
      <c r="BD7" s="36" t="s">
        <v>23</v>
      </c>
      <c r="BE7" s="38">
        <v>1254</v>
      </c>
      <c r="BF7" s="38">
        <v>1254</v>
      </c>
    </row>
    <row r="8" spans="1:63" ht="14.25" customHeight="1" thickBot="1">
      <c r="A8" s="13">
        <v>40610</v>
      </c>
      <c r="B8" s="14" t="s">
        <v>16</v>
      </c>
      <c r="C8" s="14" t="s">
        <v>19</v>
      </c>
      <c r="D8" s="15">
        <v>1166</v>
      </c>
      <c r="E8" s="14" t="s">
        <v>63</v>
      </c>
      <c r="F8" s="14" t="s">
        <v>10</v>
      </c>
      <c r="G8" s="14" t="s">
        <v>18</v>
      </c>
      <c r="H8" s="16">
        <v>53</v>
      </c>
      <c r="I8" s="15">
        <v>1166</v>
      </c>
      <c r="J8" s="16">
        <v>530</v>
      </c>
      <c r="K8" s="17">
        <v>92</v>
      </c>
      <c r="L8" s="17">
        <v>79</v>
      </c>
      <c r="M8" s="17">
        <v>98</v>
      </c>
      <c r="N8" s="17">
        <v>61</v>
      </c>
      <c r="O8" s="17">
        <v>330</v>
      </c>
      <c r="P8" s="11" t="s">
        <v>71</v>
      </c>
      <c r="Q8" s="11"/>
      <c r="R8" s="11"/>
      <c r="S8" s="19" t="s">
        <v>76</v>
      </c>
      <c r="AF8" s="14" t="s">
        <v>73</v>
      </c>
      <c r="AH8" s="13">
        <v>40572</v>
      </c>
      <c r="AI8" s="14" t="str">
        <f t="shared" si="0"/>
        <v>BELLEN</v>
      </c>
      <c r="AJ8" s="14" t="s">
        <v>9</v>
      </c>
      <c r="AK8" s="15">
        <v>1100</v>
      </c>
      <c r="AL8" s="14" t="s">
        <v>63</v>
      </c>
      <c r="AM8" s="14" t="s">
        <v>17</v>
      </c>
      <c r="AN8" s="14" t="str">
        <f t="shared" si="1"/>
        <v>Kavitha</v>
      </c>
      <c r="AO8" s="16">
        <v>50</v>
      </c>
      <c r="AP8" s="15">
        <v>1100</v>
      </c>
      <c r="AQ8" s="16">
        <v>500</v>
      </c>
      <c r="AR8" s="17">
        <v>81</v>
      </c>
      <c r="AS8" s="17">
        <v>68</v>
      </c>
      <c r="AT8" s="17">
        <v>63</v>
      </c>
      <c r="AU8" s="17">
        <v>82</v>
      </c>
      <c r="AV8" s="17">
        <v>294</v>
      </c>
      <c r="AW8" s="11" t="s">
        <v>71</v>
      </c>
      <c r="BA8" s="14" t="s">
        <v>64</v>
      </c>
      <c r="BB8" s="16">
        <f>LEN(BA8)</f>
        <v>7</v>
      </c>
      <c r="BD8" s="36" t="s">
        <v>25</v>
      </c>
      <c r="BE8" s="38">
        <v>1291</v>
      </c>
      <c r="BF8" s="38">
        <v>1291</v>
      </c>
    </row>
    <row r="9" spans="1:63" ht="14.25" customHeight="1" thickBot="1">
      <c r="A9" s="13">
        <v>40545</v>
      </c>
      <c r="B9" s="14" t="s">
        <v>12</v>
      </c>
      <c r="C9" s="14" t="s">
        <v>19</v>
      </c>
      <c r="D9" s="16">
        <v>810</v>
      </c>
      <c r="E9" s="14" t="s">
        <v>63</v>
      </c>
      <c r="F9" s="14" t="s">
        <v>10</v>
      </c>
      <c r="G9" s="14" t="s">
        <v>77</v>
      </c>
      <c r="H9" s="16">
        <v>30</v>
      </c>
      <c r="I9" s="16">
        <v>810</v>
      </c>
      <c r="J9" s="16">
        <v>435</v>
      </c>
      <c r="K9" s="17">
        <v>74</v>
      </c>
      <c r="L9" s="17">
        <v>60</v>
      </c>
      <c r="M9" s="17">
        <v>94</v>
      </c>
      <c r="N9" s="17">
        <v>97</v>
      </c>
      <c r="O9" s="17">
        <v>325</v>
      </c>
      <c r="P9" s="11" t="s">
        <v>65</v>
      </c>
      <c r="Q9" s="11"/>
      <c r="R9" s="11"/>
      <c r="S9" s="19" t="s">
        <v>78</v>
      </c>
      <c r="AF9" s="14" t="s">
        <v>18</v>
      </c>
      <c r="AH9" s="13">
        <v>40565</v>
      </c>
      <c r="AI9" s="14" t="str">
        <f t="shared" si="0"/>
        <v>BELLEN</v>
      </c>
      <c r="AJ9" s="14" t="s">
        <v>19</v>
      </c>
      <c r="AK9" s="15">
        <v>1166</v>
      </c>
      <c r="AL9" s="14" t="s">
        <v>63</v>
      </c>
      <c r="AM9" s="14" t="s">
        <v>10</v>
      </c>
      <c r="AN9" s="14" t="str">
        <f t="shared" si="1"/>
        <v>Ast</v>
      </c>
      <c r="AO9" s="16">
        <v>53</v>
      </c>
      <c r="AP9" s="15">
        <v>1166</v>
      </c>
      <c r="AQ9" s="16">
        <v>530</v>
      </c>
      <c r="AR9" s="17">
        <v>91</v>
      </c>
      <c r="AS9" s="17">
        <v>65</v>
      </c>
      <c r="AT9" s="17">
        <v>66</v>
      </c>
      <c r="AU9" s="17">
        <v>61</v>
      </c>
      <c r="AV9" s="17">
        <v>283</v>
      </c>
      <c r="AW9" s="11" t="s">
        <v>65</v>
      </c>
      <c r="BA9" s="14" t="s">
        <v>66</v>
      </c>
      <c r="BB9" s="16">
        <f t="shared" ref="BB9:BB72" si="2">LEN(BA9)</f>
        <v>7</v>
      </c>
      <c r="BD9" s="36" t="s">
        <v>27</v>
      </c>
      <c r="BE9" s="38">
        <v>1294</v>
      </c>
      <c r="BF9" s="38">
        <v>1294</v>
      </c>
    </row>
    <row r="10" spans="1:63" ht="14.25" customHeight="1" thickBot="1">
      <c r="A10" s="13">
        <v>40558</v>
      </c>
      <c r="B10" s="14" t="s">
        <v>20</v>
      </c>
      <c r="C10" s="14" t="s">
        <v>9</v>
      </c>
      <c r="D10" s="15">
        <v>1323</v>
      </c>
      <c r="E10" s="14" t="s">
        <v>63</v>
      </c>
      <c r="F10" s="14" t="s">
        <v>21</v>
      </c>
      <c r="G10" s="14" t="s">
        <v>18</v>
      </c>
      <c r="H10" s="16">
        <v>63</v>
      </c>
      <c r="I10" s="15">
        <v>1323</v>
      </c>
      <c r="J10" s="16">
        <v>583</v>
      </c>
      <c r="K10" s="17">
        <v>81</v>
      </c>
      <c r="L10" s="17">
        <v>70</v>
      </c>
      <c r="M10" s="17">
        <v>67</v>
      </c>
      <c r="N10" s="17">
        <v>85</v>
      </c>
      <c r="O10" s="17">
        <v>303</v>
      </c>
      <c r="P10" s="11" t="s">
        <v>65</v>
      </c>
      <c r="Q10" s="11"/>
      <c r="R10" s="11"/>
      <c r="S10" s="19" t="s">
        <v>79</v>
      </c>
      <c r="AF10" s="14" t="s">
        <v>77</v>
      </c>
      <c r="AH10" s="13">
        <v>40610</v>
      </c>
      <c r="AI10" s="14" t="str">
        <f t="shared" si="0"/>
        <v>BELLEN</v>
      </c>
      <c r="AJ10" s="14" t="s">
        <v>19</v>
      </c>
      <c r="AK10" s="15">
        <v>1166</v>
      </c>
      <c r="AL10" s="14" t="s">
        <v>63</v>
      </c>
      <c r="AM10" s="14" t="s">
        <v>10</v>
      </c>
      <c r="AN10" s="14" t="str">
        <f t="shared" si="1"/>
        <v>Ast</v>
      </c>
      <c r="AO10" s="16">
        <v>53</v>
      </c>
      <c r="AP10" s="15">
        <v>1166</v>
      </c>
      <c r="AQ10" s="16">
        <v>530</v>
      </c>
      <c r="AR10" s="17">
        <v>92</v>
      </c>
      <c r="AS10" s="17">
        <v>79</v>
      </c>
      <c r="AT10" s="17">
        <v>98</v>
      </c>
      <c r="AU10" s="17">
        <v>61</v>
      </c>
      <c r="AV10" s="17">
        <v>330</v>
      </c>
      <c r="AW10" s="11" t="s">
        <v>71</v>
      </c>
      <c r="BA10" s="14" t="s">
        <v>68</v>
      </c>
      <c r="BB10" s="16">
        <f t="shared" si="2"/>
        <v>6</v>
      </c>
      <c r="BD10" s="36" t="s">
        <v>28</v>
      </c>
      <c r="BE10" s="38">
        <v>996</v>
      </c>
      <c r="BF10" s="38">
        <v>996</v>
      </c>
    </row>
    <row r="11" spans="1:63" ht="14.25" customHeight="1" thickBot="1">
      <c r="A11" s="13">
        <v>40561</v>
      </c>
      <c r="B11" s="14" t="s">
        <v>14</v>
      </c>
      <c r="C11" s="14" t="s">
        <v>19</v>
      </c>
      <c r="D11" s="16">
        <v>152</v>
      </c>
      <c r="E11" s="14" t="s">
        <v>63</v>
      </c>
      <c r="F11" s="14" t="s">
        <v>13</v>
      </c>
      <c r="G11" s="14" t="s">
        <v>80</v>
      </c>
      <c r="H11" s="16">
        <v>8</v>
      </c>
      <c r="I11" s="16">
        <v>152</v>
      </c>
      <c r="J11" s="16">
        <v>64</v>
      </c>
      <c r="K11" s="17">
        <v>83</v>
      </c>
      <c r="L11" s="17">
        <v>62</v>
      </c>
      <c r="M11" s="17">
        <v>93</v>
      </c>
      <c r="N11" s="17">
        <v>100</v>
      </c>
      <c r="O11" s="17">
        <v>338</v>
      </c>
      <c r="P11" s="11" t="s">
        <v>65</v>
      </c>
      <c r="Q11" s="11"/>
      <c r="R11" s="11"/>
      <c r="S11" s="19" t="s">
        <v>81</v>
      </c>
      <c r="AF11" s="14" t="s">
        <v>80</v>
      </c>
      <c r="AH11" s="13">
        <v>40545</v>
      </c>
      <c r="AI11" s="14" t="str">
        <f t="shared" si="0"/>
        <v>QUAD</v>
      </c>
      <c r="AJ11" s="14" t="s">
        <v>19</v>
      </c>
      <c r="AK11" s="16">
        <v>810</v>
      </c>
      <c r="AL11" s="14" t="s">
        <v>63</v>
      </c>
      <c r="AM11" s="14" t="s">
        <v>10</v>
      </c>
      <c r="AN11" s="14" t="str">
        <f t="shared" si="1"/>
        <v>Santhosh</v>
      </c>
      <c r="AO11" s="16">
        <v>30</v>
      </c>
      <c r="AP11" s="16">
        <v>810</v>
      </c>
      <c r="AQ11" s="16">
        <v>435</v>
      </c>
      <c r="AR11" s="17">
        <v>74</v>
      </c>
      <c r="AS11" s="17">
        <v>60</v>
      </c>
      <c r="AT11" s="17">
        <v>94</v>
      </c>
      <c r="AU11" s="17">
        <v>97</v>
      </c>
      <c r="AV11" s="17">
        <v>325</v>
      </c>
      <c r="AW11" s="11" t="s">
        <v>65</v>
      </c>
      <c r="BA11" s="14" t="s">
        <v>70</v>
      </c>
      <c r="BB11" s="16">
        <f t="shared" si="2"/>
        <v>6</v>
      </c>
      <c r="BD11" s="36" t="s">
        <v>29</v>
      </c>
      <c r="BE11" s="38">
        <v>1240</v>
      </c>
      <c r="BF11" s="38">
        <v>1240</v>
      </c>
    </row>
    <row r="12" spans="1:63" ht="14.25" customHeight="1" thickBot="1">
      <c r="A12" s="13">
        <v>40591</v>
      </c>
      <c r="B12" s="14" t="s">
        <v>14</v>
      </c>
      <c r="C12" s="14" t="s">
        <v>19</v>
      </c>
      <c r="D12" s="16">
        <v>152</v>
      </c>
      <c r="E12" s="14" t="s">
        <v>63</v>
      </c>
      <c r="F12" s="14" t="s">
        <v>13</v>
      </c>
      <c r="G12" s="14" t="s">
        <v>18</v>
      </c>
      <c r="H12" s="16">
        <v>8</v>
      </c>
      <c r="I12" s="16">
        <v>152</v>
      </c>
      <c r="J12" s="16">
        <v>64</v>
      </c>
      <c r="K12" s="17">
        <v>76</v>
      </c>
      <c r="L12" s="17">
        <v>70</v>
      </c>
      <c r="M12" s="17">
        <v>89</v>
      </c>
      <c r="N12" s="17">
        <v>60</v>
      </c>
      <c r="O12" s="17">
        <v>295</v>
      </c>
      <c r="P12" s="11" t="s">
        <v>71</v>
      </c>
      <c r="Q12" s="11"/>
      <c r="R12" s="11"/>
      <c r="S12" s="19" t="s">
        <v>82</v>
      </c>
      <c r="AF12" s="14" t="s">
        <v>23</v>
      </c>
      <c r="AH12" s="13">
        <v>40558</v>
      </c>
      <c r="AI12" s="14" t="str">
        <f t="shared" si="0"/>
        <v>SUNSET</v>
      </c>
      <c r="AJ12" s="14" t="s">
        <v>9</v>
      </c>
      <c r="AK12" s="15">
        <v>1323</v>
      </c>
      <c r="AL12" s="14" t="s">
        <v>63</v>
      </c>
      <c r="AM12" s="14" t="s">
        <v>21</v>
      </c>
      <c r="AN12" s="14" t="str">
        <f t="shared" si="1"/>
        <v>Ast</v>
      </c>
      <c r="AO12" s="16">
        <v>63</v>
      </c>
      <c r="AP12" s="15">
        <v>1323</v>
      </c>
      <c r="AQ12" s="16">
        <v>583</v>
      </c>
      <c r="AR12" s="17">
        <v>81</v>
      </c>
      <c r="AS12" s="17">
        <v>70</v>
      </c>
      <c r="AT12" s="17">
        <v>67</v>
      </c>
      <c r="AU12" s="17">
        <v>85</v>
      </c>
      <c r="AV12" s="17">
        <v>303</v>
      </c>
      <c r="AW12" s="11" t="s">
        <v>65</v>
      </c>
      <c r="BA12" s="14" t="s">
        <v>73</v>
      </c>
      <c r="BB12" s="16">
        <f t="shared" si="2"/>
        <v>7</v>
      </c>
      <c r="BD12" s="36" t="s">
        <v>30</v>
      </c>
      <c r="BE12" s="38">
        <v>2568</v>
      </c>
      <c r="BF12" s="38">
        <v>2568</v>
      </c>
    </row>
    <row r="13" spans="1:63" ht="14.25" customHeight="1" thickBot="1">
      <c r="A13" s="13">
        <v>40567</v>
      </c>
      <c r="B13" s="14" t="s">
        <v>8</v>
      </c>
      <c r="C13" s="14" t="s">
        <v>22</v>
      </c>
      <c r="D13" s="16">
        <v>299</v>
      </c>
      <c r="E13" s="14" t="s">
        <v>83</v>
      </c>
      <c r="F13" s="14" t="s">
        <v>15</v>
      </c>
      <c r="G13" s="14" t="s">
        <v>23</v>
      </c>
      <c r="H13" s="16">
        <v>13</v>
      </c>
      <c r="I13" s="16">
        <v>299</v>
      </c>
      <c r="J13" s="16">
        <v>143</v>
      </c>
      <c r="K13" s="17">
        <v>67</v>
      </c>
      <c r="L13" s="17">
        <v>60</v>
      </c>
      <c r="M13" s="17">
        <v>69</v>
      </c>
      <c r="N13" s="17">
        <v>68</v>
      </c>
      <c r="O13" s="17">
        <v>264</v>
      </c>
      <c r="P13" s="11" t="s">
        <v>71</v>
      </c>
      <c r="Q13" s="11"/>
      <c r="R13" s="11"/>
      <c r="S13" s="19" t="s">
        <v>84</v>
      </c>
      <c r="AF13" s="14" t="s">
        <v>25</v>
      </c>
      <c r="AH13" s="13">
        <v>40561</v>
      </c>
      <c r="AI13" s="14" t="str">
        <f t="shared" si="0"/>
        <v>SUNSHINE</v>
      </c>
      <c r="AJ13" s="14" t="s">
        <v>19</v>
      </c>
      <c r="AK13" s="16">
        <v>152</v>
      </c>
      <c r="AL13" s="14" t="s">
        <v>63</v>
      </c>
      <c r="AM13" s="14" t="s">
        <v>13</v>
      </c>
      <c r="AN13" s="14" t="str">
        <f t="shared" si="1"/>
        <v>Yasvanth</v>
      </c>
      <c r="AO13" s="16">
        <v>8</v>
      </c>
      <c r="AP13" s="16">
        <v>152</v>
      </c>
      <c r="AQ13" s="16">
        <v>64</v>
      </c>
      <c r="AR13" s="17">
        <v>83</v>
      </c>
      <c r="AS13" s="17">
        <v>62</v>
      </c>
      <c r="AT13" s="17">
        <v>93</v>
      </c>
      <c r="AU13" s="17">
        <v>100</v>
      </c>
      <c r="AV13" s="17">
        <v>338</v>
      </c>
      <c r="AW13" s="11" t="s">
        <v>65</v>
      </c>
      <c r="BA13" s="14" t="s">
        <v>18</v>
      </c>
      <c r="BB13" s="16">
        <f t="shared" si="2"/>
        <v>3</v>
      </c>
      <c r="BD13" s="36" t="s">
        <v>31</v>
      </c>
      <c r="BE13" s="38">
        <v>1007</v>
      </c>
      <c r="BF13" s="38">
        <v>1007</v>
      </c>
    </row>
    <row r="14" spans="1:63" ht="14.25" customHeight="1" thickBot="1">
      <c r="A14" s="13">
        <v>40612</v>
      </c>
      <c r="B14" s="14" t="s">
        <v>8</v>
      </c>
      <c r="C14" s="14" t="s">
        <v>22</v>
      </c>
      <c r="D14" s="16">
        <v>299</v>
      </c>
      <c r="E14" s="14" t="s">
        <v>83</v>
      </c>
      <c r="F14" s="14" t="s">
        <v>15</v>
      </c>
      <c r="G14" s="14" t="s">
        <v>23</v>
      </c>
      <c r="H14" s="16">
        <v>13</v>
      </c>
      <c r="I14" s="16">
        <v>299</v>
      </c>
      <c r="J14" s="16">
        <v>143</v>
      </c>
      <c r="K14" s="17">
        <v>100</v>
      </c>
      <c r="L14" s="17">
        <v>68</v>
      </c>
      <c r="M14" s="17">
        <v>74</v>
      </c>
      <c r="N14" s="17">
        <v>100</v>
      </c>
      <c r="O14" s="17">
        <v>342</v>
      </c>
      <c r="P14" s="11" t="s">
        <v>65</v>
      </c>
      <c r="Q14" s="11"/>
      <c r="R14" s="11"/>
      <c r="S14" s="19" t="s">
        <v>82</v>
      </c>
      <c r="AF14" s="14" t="s">
        <v>27</v>
      </c>
      <c r="AH14" s="13">
        <v>40591</v>
      </c>
      <c r="AI14" s="14" t="str">
        <f t="shared" si="0"/>
        <v>SUNSHINE</v>
      </c>
      <c r="AJ14" s="14" t="s">
        <v>19</v>
      </c>
      <c r="AK14" s="16">
        <v>152</v>
      </c>
      <c r="AL14" s="14" t="s">
        <v>63</v>
      </c>
      <c r="AM14" s="14" t="s">
        <v>13</v>
      </c>
      <c r="AN14" s="14" t="str">
        <f t="shared" si="1"/>
        <v>Ast</v>
      </c>
      <c r="AO14" s="16">
        <v>8</v>
      </c>
      <c r="AP14" s="16">
        <v>152</v>
      </c>
      <c r="AQ14" s="16">
        <v>64</v>
      </c>
      <c r="AR14" s="17">
        <v>76</v>
      </c>
      <c r="AS14" s="17">
        <v>70</v>
      </c>
      <c r="AT14" s="17">
        <v>89</v>
      </c>
      <c r="AU14" s="17">
        <v>60</v>
      </c>
      <c r="AV14" s="17">
        <v>295</v>
      </c>
      <c r="AW14" s="11" t="s">
        <v>71</v>
      </c>
      <c r="BA14" s="14" t="s">
        <v>18</v>
      </c>
      <c r="BB14" s="16">
        <f t="shared" si="2"/>
        <v>3</v>
      </c>
      <c r="BD14" s="36" t="s">
        <v>32</v>
      </c>
      <c r="BE14" s="38">
        <v>1264</v>
      </c>
      <c r="BF14" s="38">
        <v>1264</v>
      </c>
    </row>
    <row r="15" spans="1:63" ht="14.25" customHeight="1" thickBot="1">
      <c r="A15" s="13">
        <v>40554</v>
      </c>
      <c r="B15" s="14" t="s">
        <v>12</v>
      </c>
      <c r="C15" s="14" t="s">
        <v>9</v>
      </c>
      <c r="D15" s="15">
        <v>1323</v>
      </c>
      <c r="E15" s="14" t="s">
        <v>63</v>
      </c>
      <c r="F15" s="14" t="s">
        <v>24</v>
      </c>
      <c r="G15" s="14" t="s">
        <v>23</v>
      </c>
      <c r="H15" s="16">
        <v>49</v>
      </c>
      <c r="I15" s="15">
        <v>1323</v>
      </c>
      <c r="J15" s="16">
        <v>711</v>
      </c>
      <c r="K15" s="17">
        <v>82</v>
      </c>
      <c r="L15" s="17">
        <v>70</v>
      </c>
      <c r="M15" s="17">
        <v>70</v>
      </c>
      <c r="N15" s="17">
        <v>94</v>
      </c>
      <c r="O15" s="17">
        <v>316</v>
      </c>
      <c r="P15" s="11" t="s">
        <v>71</v>
      </c>
      <c r="Q15" s="11"/>
      <c r="R15" s="11"/>
      <c r="S15" s="19" t="s">
        <v>84</v>
      </c>
      <c r="AF15" s="14" t="s">
        <v>28</v>
      </c>
      <c r="AH15" s="13">
        <v>40567</v>
      </c>
      <c r="AI15" s="14" t="str">
        <f t="shared" si="0"/>
        <v>CARLOTA</v>
      </c>
      <c r="AJ15" s="14" t="s">
        <v>22</v>
      </c>
      <c r="AK15" s="16">
        <v>299</v>
      </c>
      <c r="AL15" s="14" t="s">
        <v>83</v>
      </c>
      <c r="AM15" s="14" t="s">
        <v>15</v>
      </c>
      <c r="AN15" s="14" t="str">
        <f t="shared" si="1"/>
        <v>Bbt</v>
      </c>
      <c r="AO15" s="16">
        <v>13</v>
      </c>
      <c r="AP15" s="16">
        <v>299</v>
      </c>
      <c r="AQ15" s="16">
        <v>143</v>
      </c>
      <c r="AR15" s="17">
        <v>67</v>
      </c>
      <c r="AS15" s="17">
        <v>60</v>
      </c>
      <c r="AT15" s="17">
        <v>69</v>
      </c>
      <c r="AU15" s="17">
        <v>68</v>
      </c>
      <c r="AV15" s="17">
        <v>264</v>
      </c>
      <c r="AW15" s="11" t="s">
        <v>71</v>
      </c>
      <c r="BA15" s="14" t="s">
        <v>77</v>
      </c>
      <c r="BB15" s="16">
        <f t="shared" si="2"/>
        <v>8</v>
      </c>
      <c r="BD15" s="36" t="s">
        <v>33</v>
      </c>
      <c r="BE15" s="38">
        <v>1258</v>
      </c>
      <c r="BF15" s="38">
        <v>1258</v>
      </c>
    </row>
    <row r="16" spans="1:63" ht="14.25" customHeight="1" thickBot="1">
      <c r="A16" s="13">
        <v>40547</v>
      </c>
      <c r="B16" s="14" t="s">
        <v>20</v>
      </c>
      <c r="C16" s="14" t="s">
        <v>22</v>
      </c>
      <c r="D16" s="16">
        <v>609</v>
      </c>
      <c r="E16" s="14" t="s">
        <v>83</v>
      </c>
      <c r="F16" s="14" t="s">
        <v>13</v>
      </c>
      <c r="G16" s="14" t="s">
        <v>23</v>
      </c>
      <c r="H16" s="16">
        <v>29</v>
      </c>
      <c r="I16" s="16">
        <v>609</v>
      </c>
      <c r="J16" s="16">
        <v>268</v>
      </c>
      <c r="K16" s="17">
        <v>89</v>
      </c>
      <c r="L16" s="17">
        <v>61</v>
      </c>
      <c r="M16" s="17">
        <v>83</v>
      </c>
      <c r="N16" s="17">
        <v>99</v>
      </c>
      <c r="O16" s="17">
        <v>332</v>
      </c>
      <c r="P16" s="11" t="s">
        <v>65</v>
      </c>
      <c r="Q16" s="11"/>
      <c r="R16" s="11"/>
      <c r="S16" s="19" t="s">
        <v>85</v>
      </c>
      <c r="AF16" s="14" t="s">
        <v>29</v>
      </c>
      <c r="AH16" s="13">
        <v>40612</v>
      </c>
      <c r="AI16" s="14" t="str">
        <f t="shared" si="0"/>
        <v>CARLOTA</v>
      </c>
      <c r="AJ16" s="14" t="s">
        <v>22</v>
      </c>
      <c r="AK16" s="16">
        <v>299</v>
      </c>
      <c r="AL16" s="14" t="s">
        <v>83</v>
      </c>
      <c r="AM16" s="14" t="s">
        <v>15</v>
      </c>
      <c r="AN16" s="14" t="str">
        <f t="shared" si="1"/>
        <v>Bbt</v>
      </c>
      <c r="AO16" s="16">
        <v>13</v>
      </c>
      <c r="AP16" s="16">
        <v>299</v>
      </c>
      <c r="AQ16" s="16">
        <v>143</v>
      </c>
      <c r="AR16" s="17">
        <v>100</v>
      </c>
      <c r="AS16" s="17">
        <v>68</v>
      </c>
      <c r="AT16" s="17">
        <v>74</v>
      </c>
      <c r="AU16" s="17">
        <v>100</v>
      </c>
      <c r="AV16" s="17">
        <v>342</v>
      </c>
      <c r="AW16" s="11" t="s">
        <v>65</v>
      </c>
      <c r="BA16" s="14" t="s">
        <v>18</v>
      </c>
      <c r="BB16" s="16">
        <f t="shared" si="2"/>
        <v>3</v>
      </c>
      <c r="BD16" s="36" t="s">
        <v>34</v>
      </c>
      <c r="BE16" s="38">
        <v>597</v>
      </c>
      <c r="BF16" s="38">
        <v>597</v>
      </c>
    </row>
    <row r="17" spans="1:63" ht="14.25" customHeight="1" thickBot="1">
      <c r="A17" s="13">
        <v>40561</v>
      </c>
      <c r="B17" s="14" t="s">
        <v>16</v>
      </c>
      <c r="C17" s="14" t="s">
        <v>9</v>
      </c>
      <c r="D17" s="16">
        <v>440</v>
      </c>
      <c r="E17" s="14" t="s">
        <v>63</v>
      </c>
      <c r="F17" s="14" t="s">
        <v>15</v>
      </c>
      <c r="G17" s="14" t="s">
        <v>25</v>
      </c>
      <c r="H17" s="16">
        <v>20</v>
      </c>
      <c r="I17" s="16">
        <v>440</v>
      </c>
      <c r="J17" s="16">
        <v>200</v>
      </c>
      <c r="K17" s="17">
        <v>93</v>
      </c>
      <c r="L17" s="17">
        <v>87</v>
      </c>
      <c r="M17" s="17">
        <v>78</v>
      </c>
      <c r="N17" s="17">
        <v>75</v>
      </c>
      <c r="O17" s="17">
        <v>333</v>
      </c>
      <c r="P17" s="11" t="s">
        <v>71</v>
      </c>
      <c r="Q17" s="11"/>
      <c r="R17" s="11"/>
      <c r="S17" s="19" t="s">
        <v>86</v>
      </c>
      <c r="AF17" s="14" t="s">
        <v>30</v>
      </c>
      <c r="AH17" s="13">
        <v>40554</v>
      </c>
      <c r="AI17" s="14" t="str">
        <f t="shared" si="0"/>
        <v>QUAD</v>
      </c>
      <c r="AJ17" s="14" t="s">
        <v>9</v>
      </c>
      <c r="AK17" s="15">
        <v>1323</v>
      </c>
      <c r="AL17" s="14" t="s">
        <v>63</v>
      </c>
      <c r="AM17" s="14" t="s">
        <v>24</v>
      </c>
      <c r="AN17" s="14" t="str">
        <f t="shared" si="1"/>
        <v>Bbt</v>
      </c>
      <c r="AO17" s="16">
        <v>49</v>
      </c>
      <c r="AP17" s="15">
        <v>1323</v>
      </c>
      <c r="AQ17" s="16">
        <v>711</v>
      </c>
      <c r="AR17" s="17">
        <v>82</v>
      </c>
      <c r="AS17" s="17">
        <v>70</v>
      </c>
      <c r="AT17" s="17">
        <v>70</v>
      </c>
      <c r="AU17" s="17">
        <v>94</v>
      </c>
      <c r="AV17" s="17">
        <v>316</v>
      </c>
      <c r="AW17" s="11" t="s">
        <v>71</v>
      </c>
      <c r="BA17" s="14" t="s">
        <v>80</v>
      </c>
      <c r="BB17" s="16">
        <f t="shared" si="2"/>
        <v>8</v>
      </c>
      <c r="BD17" s="36" t="s">
        <v>35</v>
      </c>
      <c r="BE17" s="38">
        <v>1226</v>
      </c>
      <c r="BF17" s="38">
        <v>1226</v>
      </c>
    </row>
    <row r="18" spans="1:63" ht="14.25" customHeight="1" thickBot="1">
      <c r="A18" s="13">
        <v>40566</v>
      </c>
      <c r="B18" s="14" t="s">
        <v>16</v>
      </c>
      <c r="C18" s="14" t="s">
        <v>9</v>
      </c>
      <c r="D18" s="16">
        <v>198</v>
      </c>
      <c r="E18" s="14" t="s">
        <v>63</v>
      </c>
      <c r="F18" s="14" t="s">
        <v>21</v>
      </c>
      <c r="G18" s="14" t="s">
        <v>25</v>
      </c>
      <c r="H18" s="16">
        <v>9</v>
      </c>
      <c r="I18" s="16">
        <v>198</v>
      </c>
      <c r="J18" s="16">
        <v>90</v>
      </c>
      <c r="K18" s="17">
        <v>71</v>
      </c>
      <c r="L18" s="17">
        <v>71</v>
      </c>
      <c r="M18" s="17">
        <v>88</v>
      </c>
      <c r="N18" s="17">
        <v>77</v>
      </c>
      <c r="O18" s="17">
        <v>307</v>
      </c>
      <c r="P18" s="11" t="s">
        <v>71</v>
      </c>
      <c r="Q18" s="11"/>
      <c r="R18" s="11"/>
      <c r="S18" s="19" t="s">
        <v>87</v>
      </c>
      <c r="AF18" s="14" t="s">
        <v>31</v>
      </c>
      <c r="AH18" s="13">
        <v>40547</v>
      </c>
      <c r="AI18" s="14" t="str">
        <f t="shared" si="0"/>
        <v>SUNSET</v>
      </c>
      <c r="AJ18" s="14" t="s">
        <v>22</v>
      </c>
      <c r="AK18" s="16">
        <v>609</v>
      </c>
      <c r="AL18" s="14" t="s">
        <v>83</v>
      </c>
      <c r="AM18" s="14" t="s">
        <v>13</v>
      </c>
      <c r="AN18" s="14" t="str">
        <f t="shared" si="1"/>
        <v>Bbt</v>
      </c>
      <c r="AO18" s="16">
        <v>29</v>
      </c>
      <c r="AP18" s="16">
        <v>609</v>
      </c>
      <c r="AQ18" s="16">
        <v>268</v>
      </c>
      <c r="AR18" s="17">
        <v>89</v>
      </c>
      <c r="AS18" s="17">
        <v>61</v>
      </c>
      <c r="AT18" s="17">
        <v>83</v>
      </c>
      <c r="AU18" s="17">
        <v>99</v>
      </c>
      <c r="AV18" s="17">
        <v>332</v>
      </c>
      <c r="AW18" s="11" t="s">
        <v>65</v>
      </c>
      <c r="BA18" s="14" t="s">
        <v>18</v>
      </c>
      <c r="BB18" s="16">
        <f t="shared" si="2"/>
        <v>3</v>
      </c>
      <c r="BD18" s="36" t="s">
        <v>36</v>
      </c>
      <c r="BE18" s="38">
        <v>654</v>
      </c>
      <c r="BF18" s="38">
        <v>654</v>
      </c>
    </row>
    <row r="19" spans="1:63" ht="14.25" customHeight="1" thickBot="1">
      <c r="A19" s="13">
        <v>40611</v>
      </c>
      <c r="B19" s="14" t="s">
        <v>16</v>
      </c>
      <c r="C19" s="14" t="s">
        <v>9</v>
      </c>
      <c r="D19" s="16">
        <v>198</v>
      </c>
      <c r="E19" s="14" t="s">
        <v>63</v>
      </c>
      <c r="F19" s="14" t="s">
        <v>21</v>
      </c>
      <c r="G19" s="14" t="s">
        <v>25</v>
      </c>
      <c r="H19" s="16">
        <v>9</v>
      </c>
      <c r="I19" s="16">
        <v>198</v>
      </c>
      <c r="J19" s="16">
        <v>90</v>
      </c>
      <c r="K19" s="17">
        <v>67</v>
      </c>
      <c r="L19" s="17">
        <v>99</v>
      </c>
      <c r="M19" s="17">
        <v>94</v>
      </c>
      <c r="N19" s="17">
        <v>87</v>
      </c>
      <c r="O19" s="17">
        <v>347</v>
      </c>
      <c r="P19" s="11" t="s">
        <v>71</v>
      </c>
      <c r="Q19" s="11"/>
      <c r="R19" s="11"/>
      <c r="S19" s="19" t="s">
        <v>88</v>
      </c>
      <c r="AF19" s="14" t="s">
        <v>32</v>
      </c>
      <c r="AH19" s="13">
        <v>40561</v>
      </c>
      <c r="AI19" s="14" t="str">
        <f t="shared" si="0"/>
        <v>BELLEN</v>
      </c>
      <c r="AJ19" s="14" t="s">
        <v>9</v>
      </c>
      <c r="AK19" s="16">
        <v>440</v>
      </c>
      <c r="AL19" s="14" t="s">
        <v>63</v>
      </c>
      <c r="AM19" s="14" t="s">
        <v>15</v>
      </c>
      <c r="AN19" s="14" t="str">
        <f t="shared" si="1"/>
        <v>Dfgh</v>
      </c>
      <c r="AO19" s="16">
        <v>20</v>
      </c>
      <c r="AP19" s="16">
        <v>440</v>
      </c>
      <c r="AQ19" s="16">
        <v>200</v>
      </c>
      <c r="AR19" s="17">
        <v>93</v>
      </c>
      <c r="AS19" s="17">
        <v>87</v>
      </c>
      <c r="AT19" s="17">
        <v>78</v>
      </c>
      <c r="AU19" s="17">
        <v>75</v>
      </c>
      <c r="AV19" s="17">
        <v>333</v>
      </c>
      <c r="AW19" s="11" t="s">
        <v>71</v>
      </c>
      <c r="BA19" s="14" t="s">
        <v>23</v>
      </c>
      <c r="BB19" s="16">
        <f t="shared" si="2"/>
        <v>3</v>
      </c>
      <c r="BD19" s="36" t="s">
        <v>73</v>
      </c>
      <c r="BE19" s="38">
        <v>294</v>
      </c>
      <c r="BF19" s="38">
        <v>294</v>
      </c>
    </row>
    <row r="20" spans="1:63" ht="14.25" customHeight="1" thickBot="1">
      <c r="A20" s="13">
        <v>40569</v>
      </c>
      <c r="B20" s="14" t="s">
        <v>20</v>
      </c>
      <c r="C20" s="14" t="s">
        <v>26</v>
      </c>
      <c r="D20" s="16">
        <v>924</v>
      </c>
      <c r="E20" s="14" t="s">
        <v>83</v>
      </c>
      <c r="F20" s="14" t="s">
        <v>13</v>
      </c>
      <c r="G20" s="14" t="s">
        <v>25</v>
      </c>
      <c r="H20" s="16">
        <v>44</v>
      </c>
      <c r="I20" s="16">
        <v>924</v>
      </c>
      <c r="J20" s="16">
        <v>407</v>
      </c>
      <c r="K20" s="17">
        <v>85</v>
      </c>
      <c r="L20" s="17">
        <v>82</v>
      </c>
      <c r="M20" s="17">
        <v>74</v>
      </c>
      <c r="N20" s="17">
        <v>63</v>
      </c>
      <c r="O20" s="17">
        <v>304</v>
      </c>
      <c r="P20" s="11" t="s">
        <v>65</v>
      </c>
      <c r="Q20" s="11"/>
      <c r="R20" s="11"/>
      <c r="S20" s="20"/>
      <c r="AF20" s="14" t="s">
        <v>33</v>
      </c>
      <c r="AH20" s="13">
        <v>40566</v>
      </c>
      <c r="AI20" s="14" t="str">
        <f t="shared" si="0"/>
        <v>BELLEN</v>
      </c>
      <c r="AJ20" s="14" t="s">
        <v>9</v>
      </c>
      <c r="AK20" s="16">
        <v>198</v>
      </c>
      <c r="AL20" s="14" t="s">
        <v>63</v>
      </c>
      <c r="AM20" s="14" t="s">
        <v>21</v>
      </c>
      <c r="AN20" s="14" t="str">
        <f t="shared" si="1"/>
        <v>Dfgh</v>
      </c>
      <c r="AO20" s="16">
        <v>9</v>
      </c>
      <c r="AP20" s="16">
        <v>198</v>
      </c>
      <c r="AQ20" s="16">
        <v>90</v>
      </c>
      <c r="AR20" s="17">
        <v>71</v>
      </c>
      <c r="AS20" s="17">
        <v>71</v>
      </c>
      <c r="AT20" s="17">
        <v>88</v>
      </c>
      <c r="AU20" s="17">
        <v>77</v>
      </c>
      <c r="AV20" s="17">
        <v>307</v>
      </c>
      <c r="AW20" s="11" t="s">
        <v>71</v>
      </c>
      <c r="BA20" s="14" t="s">
        <v>23</v>
      </c>
      <c r="BB20" s="16">
        <f t="shared" si="2"/>
        <v>3</v>
      </c>
      <c r="BD20" s="36" t="s">
        <v>37</v>
      </c>
      <c r="BE20" s="38">
        <v>1929</v>
      </c>
      <c r="BF20" s="38">
        <v>1929</v>
      </c>
    </row>
    <row r="21" spans="1:63" ht="14.25" customHeight="1" thickBot="1">
      <c r="A21" s="13">
        <v>40561</v>
      </c>
      <c r="B21" s="14" t="s">
        <v>16</v>
      </c>
      <c r="C21" s="14" t="s">
        <v>9</v>
      </c>
      <c r="D21" s="15">
        <v>1298</v>
      </c>
      <c r="E21" s="14" t="s">
        <v>63</v>
      </c>
      <c r="F21" s="14" t="s">
        <v>10</v>
      </c>
      <c r="G21" s="14" t="s">
        <v>27</v>
      </c>
      <c r="H21" s="16">
        <v>59</v>
      </c>
      <c r="I21" s="15">
        <v>1298</v>
      </c>
      <c r="J21" s="16">
        <v>590</v>
      </c>
      <c r="K21" s="17">
        <v>96</v>
      </c>
      <c r="L21" s="17">
        <v>91</v>
      </c>
      <c r="M21" s="17">
        <v>89</v>
      </c>
      <c r="N21" s="17">
        <v>64</v>
      </c>
      <c r="O21" s="17">
        <v>340</v>
      </c>
      <c r="P21" s="11" t="s">
        <v>65</v>
      </c>
      <c r="Q21" s="11"/>
      <c r="R21" s="11"/>
      <c r="S21" s="11"/>
      <c r="AF21" s="14" t="s">
        <v>34</v>
      </c>
      <c r="AH21" s="13">
        <v>40611</v>
      </c>
      <c r="AI21" s="14" t="str">
        <f t="shared" si="0"/>
        <v>BELLEN</v>
      </c>
      <c r="AJ21" s="14" t="s">
        <v>9</v>
      </c>
      <c r="AK21" s="16">
        <v>198</v>
      </c>
      <c r="AL21" s="14" t="s">
        <v>63</v>
      </c>
      <c r="AM21" s="14" t="s">
        <v>21</v>
      </c>
      <c r="AN21" s="14" t="str">
        <f t="shared" si="1"/>
        <v>Dfgh</v>
      </c>
      <c r="AO21" s="16">
        <v>9</v>
      </c>
      <c r="AP21" s="16">
        <v>198</v>
      </c>
      <c r="AQ21" s="16">
        <v>90</v>
      </c>
      <c r="AR21" s="17">
        <v>67</v>
      </c>
      <c r="AS21" s="17">
        <v>99</v>
      </c>
      <c r="AT21" s="17">
        <v>94</v>
      </c>
      <c r="AU21" s="17">
        <v>87</v>
      </c>
      <c r="AV21" s="17">
        <v>347</v>
      </c>
      <c r="AW21" s="11" t="s">
        <v>71</v>
      </c>
      <c r="BA21" s="14" t="s">
        <v>23</v>
      </c>
      <c r="BB21" s="16">
        <f t="shared" si="2"/>
        <v>3</v>
      </c>
      <c r="BD21" s="36" t="s">
        <v>38</v>
      </c>
      <c r="BE21" s="38">
        <v>611</v>
      </c>
      <c r="BF21" s="38">
        <v>611</v>
      </c>
    </row>
    <row r="22" spans="1:63" ht="14.25" customHeight="1" thickBot="1">
      <c r="A22" s="13">
        <v>40553</v>
      </c>
      <c r="B22" s="14" t="s">
        <v>12</v>
      </c>
      <c r="C22" s="14" t="s">
        <v>9</v>
      </c>
      <c r="D22" s="16">
        <v>459</v>
      </c>
      <c r="E22" s="14" t="s">
        <v>63</v>
      </c>
      <c r="F22" s="14" t="s">
        <v>24</v>
      </c>
      <c r="G22" s="14" t="s">
        <v>27</v>
      </c>
      <c r="H22" s="16">
        <v>17</v>
      </c>
      <c r="I22" s="16">
        <v>459</v>
      </c>
      <c r="J22" s="16">
        <v>247</v>
      </c>
      <c r="K22" s="17">
        <v>72</v>
      </c>
      <c r="L22" s="17">
        <v>97</v>
      </c>
      <c r="M22" s="17">
        <v>66</v>
      </c>
      <c r="N22" s="17">
        <v>62</v>
      </c>
      <c r="O22" s="17">
        <v>297</v>
      </c>
      <c r="P22" s="11" t="s">
        <v>65</v>
      </c>
      <c r="Q22" s="11"/>
      <c r="R22" s="11"/>
      <c r="S22" s="11"/>
      <c r="AF22" s="14" t="s">
        <v>35</v>
      </c>
      <c r="AH22" s="13">
        <v>40569</v>
      </c>
      <c r="AI22" s="14" t="str">
        <f t="shared" si="0"/>
        <v>SUNSET</v>
      </c>
      <c r="AJ22" s="14" t="s">
        <v>26</v>
      </c>
      <c r="AK22" s="16">
        <v>924</v>
      </c>
      <c r="AL22" s="14" t="s">
        <v>83</v>
      </c>
      <c r="AM22" s="14" t="s">
        <v>13</v>
      </c>
      <c r="AN22" s="14" t="str">
        <f t="shared" si="1"/>
        <v>Dfgh</v>
      </c>
      <c r="AO22" s="16">
        <v>44</v>
      </c>
      <c r="AP22" s="16">
        <v>924</v>
      </c>
      <c r="AQ22" s="16">
        <v>407</v>
      </c>
      <c r="AR22" s="17">
        <v>85</v>
      </c>
      <c r="AS22" s="17">
        <v>82</v>
      </c>
      <c r="AT22" s="17">
        <v>74</v>
      </c>
      <c r="AU22" s="17">
        <v>63</v>
      </c>
      <c r="AV22" s="17">
        <v>304</v>
      </c>
      <c r="AW22" s="11" t="s">
        <v>65</v>
      </c>
      <c r="BA22" s="14" t="s">
        <v>23</v>
      </c>
      <c r="BB22" s="16">
        <f t="shared" si="2"/>
        <v>3</v>
      </c>
      <c r="BD22" s="36" t="s">
        <v>39</v>
      </c>
      <c r="BE22" s="38">
        <v>292</v>
      </c>
      <c r="BF22" s="38">
        <v>292</v>
      </c>
      <c r="BJ22" t="s">
        <v>337</v>
      </c>
    </row>
    <row r="23" spans="1:63" ht="14.25" customHeight="1" thickBot="1">
      <c r="A23" s="13">
        <v>40564</v>
      </c>
      <c r="B23" s="14" t="s">
        <v>14</v>
      </c>
      <c r="C23" s="14" t="s">
        <v>22</v>
      </c>
      <c r="D23" s="16">
        <v>437</v>
      </c>
      <c r="E23" s="14" t="s">
        <v>83</v>
      </c>
      <c r="F23" s="14" t="s">
        <v>10</v>
      </c>
      <c r="G23" s="14" t="s">
        <v>27</v>
      </c>
      <c r="H23" s="16">
        <v>23</v>
      </c>
      <c r="I23" s="16">
        <v>437</v>
      </c>
      <c r="J23" s="16">
        <v>184</v>
      </c>
      <c r="K23" s="17">
        <v>85</v>
      </c>
      <c r="L23" s="17">
        <v>82</v>
      </c>
      <c r="M23" s="17">
        <v>64</v>
      </c>
      <c r="N23" s="17">
        <v>88</v>
      </c>
      <c r="O23" s="17">
        <v>319</v>
      </c>
      <c r="P23" s="11" t="s">
        <v>71</v>
      </c>
      <c r="Q23" s="11"/>
      <c r="R23" s="11"/>
      <c r="S23" s="11" t="s">
        <v>319</v>
      </c>
      <c r="AF23" s="14" t="s">
        <v>36</v>
      </c>
      <c r="AH23" s="13">
        <v>40561</v>
      </c>
      <c r="AI23" s="14" t="str">
        <f t="shared" si="0"/>
        <v>BELLEN</v>
      </c>
      <c r="AJ23" s="14" t="s">
        <v>9</v>
      </c>
      <c r="AK23" s="15">
        <v>1298</v>
      </c>
      <c r="AL23" s="14" t="s">
        <v>63</v>
      </c>
      <c r="AM23" s="14" t="s">
        <v>10</v>
      </c>
      <c r="AN23" s="14" t="str">
        <f t="shared" si="1"/>
        <v>Dfr</v>
      </c>
      <c r="AO23" s="16">
        <v>59</v>
      </c>
      <c r="AP23" s="15">
        <v>1298</v>
      </c>
      <c r="AQ23" s="16">
        <v>590</v>
      </c>
      <c r="AR23" s="17">
        <v>96</v>
      </c>
      <c r="AS23" s="17">
        <v>91</v>
      </c>
      <c r="AT23" s="17">
        <v>89</v>
      </c>
      <c r="AU23" s="17">
        <v>64</v>
      </c>
      <c r="AV23" s="17">
        <v>340</v>
      </c>
      <c r="AW23" s="11" t="s">
        <v>65</v>
      </c>
      <c r="BA23" s="14" t="s">
        <v>25</v>
      </c>
      <c r="BB23" s="16">
        <f t="shared" si="2"/>
        <v>4</v>
      </c>
      <c r="BD23" s="36" t="s">
        <v>40</v>
      </c>
      <c r="BE23" s="38">
        <v>1003</v>
      </c>
      <c r="BF23" s="38">
        <v>1003</v>
      </c>
      <c r="BJ23" s="35" t="s">
        <v>61</v>
      </c>
      <c r="BK23" t="s">
        <v>316</v>
      </c>
    </row>
    <row r="24" spans="1:63" ht="14.25" customHeight="1" thickBot="1">
      <c r="A24" s="13">
        <v>40573</v>
      </c>
      <c r="B24" s="14" t="s">
        <v>14</v>
      </c>
      <c r="C24" s="14" t="s">
        <v>19</v>
      </c>
      <c r="D24" s="16">
        <v>931</v>
      </c>
      <c r="E24" s="14" t="s">
        <v>63</v>
      </c>
      <c r="F24" s="14" t="s">
        <v>21</v>
      </c>
      <c r="G24" s="14" t="s">
        <v>27</v>
      </c>
      <c r="H24" s="16">
        <v>49</v>
      </c>
      <c r="I24" s="16">
        <v>931</v>
      </c>
      <c r="J24" s="16">
        <v>392</v>
      </c>
      <c r="K24" s="17">
        <v>87</v>
      </c>
      <c r="L24" s="17">
        <v>85</v>
      </c>
      <c r="M24" s="17">
        <v>93</v>
      </c>
      <c r="N24" s="17">
        <v>73</v>
      </c>
      <c r="O24" s="17">
        <v>338</v>
      </c>
      <c r="P24" s="11" t="s">
        <v>71</v>
      </c>
      <c r="Q24" s="11"/>
      <c r="R24" s="11"/>
      <c r="S24" s="35" t="s">
        <v>325</v>
      </c>
      <c r="T24" t="s">
        <v>314</v>
      </c>
      <c r="AF24" s="14" t="s">
        <v>37</v>
      </c>
      <c r="AH24" s="13">
        <v>40553</v>
      </c>
      <c r="AI24" s="14" t="str">
        <f t="shared" si="0"/>
        <v>QUAD</v>
      </c>
      <c r="AJ24" s="14" t="s">
        <v>9</v>
      </c>
      <c r="AK24" s="16">
        <v>459</v>
      </c>
      <c r="AL24" s="14" t="s">
        <v>63</v>
      </c>
      <c r="AM24" s="14" t="s">
        <v>24</v>
      </c>
      <c r="AN24" s="14" t="str">
        <f t="shared" si="1"/>
        <v>Dfr</v>
      </c>
      <c r="AO24" s="16">
        <v>17</v>
      </c>
      <c r="AP24" s="16">
        <v>459</v>
      </c>
      <c r="AQ24" s="16">
        <v>247</v>
      </c>
      <c r="AR24" s="17">
        <v>72</v>
      </c>
      <c r="AS24" s="17">
        <v>97</v>
      </c>
      <c r="AT24" s="17">
        <v>66</v>
      </c>
      <c r="AU24" s="17">
        <v>62</v>
      </c>
      <c r="AV24" s="17">
        <v>297</v>
      </c>
      <c r="AW24" s="11" t="s">
        <v>65</v>
      </c>
      <c r="BA24" s="14" t="s">
        <v>25</v>
      </c>
      <c r="BB24" s="16">
        <f t="shared" si="2"/>
        <v>4</v>
      </c>
      <c r="BD24" s="36" t="s">
        <v>41</v>
      </c>
      <c r="BE24" s="38">
        <v>684</v>
      </c>
      <c r="BF24" s="38">
        <v>684</v>
      </c>
      <c r="BJ24" s="36" t="s">
        <v>83</v>
      </c>
      <c r="BK24" s="38">
        <v>1647</v>
      </c>
    </row>
    <row r="25" spans="1:63" ht="14.25" customHeight="1" thickBot="1">
      <c r="A25" s="13">
        <v>40552</v>
      </c>
      <c r="B25" s="14" t="s">
        <v>16</v>
      </c>
      <c r="C25" s="14" t="s">
        <v>9</v>
      </c>
      <c r="D25" s="16">
        <v>880</v>
      </c>
      <c r="E25" s="14" t="s">
        <v>63</v>
      </c>
      <c r="F25" s="14" t="s">
        <v>10</v>
      </c>
      <c r="G25" s="14" t="s">
        <v>28</v>
      </c>
      <c r="H25" s="16">
        <v>40</v>
      </c>
      <c r="I25" s="16">
        <v>880</v>
      </c>
      <c r="J25" s="16">
        <v>400</v>
      </c>
      <c r="K25" s="17">
        <v>75</v>
      </c>
      <c r="L25" s="17">
        <v>93</v>
      </c>
      <c r="M25" s="17">
        <v>80</v>
      </c>
      <c r="N25" s="17">
        <v>87</v>
      </c>
      <c r="O25" s="17">
        <v>335</v>
      </c>
      <c r="P25" s="11" t="s">
        <v>65</v>
      </c>
      <c r="Q25" s="11"/>
      <c r="R25" s="11"/>
      <c r="S25" s="36" t="s">
        <v>71</v>
      </c>
      <c r="T25" s="38">
        <v>319.469696969697</v>
      </c>
      <c r="AF25" s="14" t="s">
        <v>38</v>
      </c>
      <c r="AH25" s="13">
        <v>40564</v>
      </c>
      <c r="AI25" s="14" t="str">
        <f t="shared" si="0"/>
        <v>SUNSHINE</v>
      </c>
      <c r="AJ25" s="14" t="s">
        <v>22</v>
      </c>
      <c r="AK25" s="16">
        <v>437</v>
      </c>
      <c r="AL25" s="14" t="s">
        <v>83</v>
      </c>
      <c r="AM25" s="14" t="s">
        <v>10</v>
      </c>
      <c r="AN25" s="14" t="str">
        <f t="shared" si="1"/>
        <v>Dfr</v>
      </c>
      <c r="AO25" s="16">
        <v>23</v>
      </c>
      <c r="AP25" s="16">
        <v>437</v>
      </c>
      <c r="AQ25" s="16">
        <v>184</v>
      </c>
      <c r="AR25" s="17">
        <v>85</v>
      </c>
      <c r="AS25" s="17">
        <v>82</v>
      </c>
      <c r="AT25" s="17">
        <v>64</v>
      </c>
      <c r="AU25" s="17">
        <v>88</v>
      </c>
      <c r="AV25" s="17">
        <v>319</v>
      </c>
      <c r="AW25" s="11" t="s">
        <v>71</v>
      </c>
      <c r="BA25" s="14" t="s">
        <v>25</v>
      </c>
      <c r="BB25" s="16">
        <f t="shared" si="2"/>
        <v>4</v>
      </c>
      <c r="BD25" s="36" t="s">
        <v>42</v>
      </c>
      <c r="BE25" s="38">
        <v>4264</v>
      </c>
      <c r="BF25" s="38">
        <v>4264</v>
      </c>
      <c r="BJ25" s="37" t="s">
        <v>16</v>
      </c>
      <c r="BK25" s="38">
        <v>1254</v>
      </c>
    </row>
    <row r="26" spans="1:63" ht="14.25" customHeight="1" thickBot="1">
      <c r="A26" s="13">
        <v>40597</v>
      </c>
      <c r="B26" s="14" t="s">
        <v>16</v>
      </c>
      <c r="C26" s="14" t="s">
        <v>9</v>
      </c>
      <c r="D26" s="16">
        <v>880</v>
      </c>
      <c r="E26" s="14" t="s">
        <v>63</v>
      </c>
      <c r="F26" s="14" t="s">
        <v>10</v>
      </c>
      <c r="G26" s="14" t="s">
        <v>28</v>
      </c>
      <c r="H26" s="16">
        <v>40</v>
      </c>
      <c r="I26" s="16">
        <v>880</v>
      </c>
      <c r="J26" s="16">
        <v>400</v>
      </c>
      <c r="K26" s="17">
        <v>71</v>
      </c>
      <c r="L26" s="17">
        <v>98</v>
      </c>
      <c r="M26" s="17">
        <v>92</v>
      </c>
      <c r="N26" s="17">
        <v>85</v>
      </c>
      <c r="O26" s="17">
        <v>346</v>
      </c>
      <c r="P26" s="11" t="s">
        <v>71</v>
      </c>
      <c r="Q26" s="11"/>
      <c r="R26" s="11"/>
      <c r="S26" s="37" t="s">
        <v>83</v>
      </c>
      <c r="T26" s="38">
        <v>322.54285714285714</v>
      </c>
      <c r="AF26" s="14" t="s">
        <v>39</v>
      </c>
      <c r="AH26" s="13">
        <v>40573</v>
      </c>
      <c r="AI26" s="14" t="str">
        <f t="shared" si="0"/>
        <v>SUNSHINE</v>
      </c>
      <c r="AJ26" s="14" t="s">
        <v>19</v>
      </c>
      <c r="AK26" s="16">
        <v>931</v>
      </c>
      <c r="AL26" s="14" t="s">
        <v>63</v>
      </c>
      <c r="AM26" s="14" t="s">
        <v>21</v>
      </c>
      <c r="AN26" s="14" t="str">
        <f t="shared" si="1"/>
        <v>Dfr</v>
      </c>
      <c r="AO26" s="16">
        <v>49</v>
      </c>
      <c r="AP26" s="16">
        <v>931</v>
      </c>
      <c r="AQ26" s="16">
        <v>392</v>
      </c>
      <c r="AR26" s="17">
        <v>87</v>
      </c>
      <c r="AS26" s="17">
        <v>85</v>
      </c>
      <c r="AT26" s="17">
        <v>93</v>
      </c>
      <c r="AU26" s="17">
        <v>73</v>
      </c>
      <c r="AV26" s="17">
        <v>338</v>
      </c>
      <c r="AW26" s="11" t="s">
        <v>71</v>
      </c>
      <c r="BA26" s="14" t="s">
        <v>25</v>
      </c>
      <c r="BB26" s="16">
        <f t="shared" si="2"/>
        <v>4</v>
      </c>
      <c r="BD26" s="36" t="s">
        <v>43</v>
      </c>
      <c r="BE26" s="38">
        <v>967</v>
      </c>
      <c r="BF26" s="38">
        <v>967</v>
      </c>
      <c r="BJ26" s="37" t="s">
        <v>8</v>
      </c>
      <c r="BK26" s="38">
        <v>1219</v>
      </c>
    </row>
    <row r="27" spans="1:63" ht="14.25" customHeight="1" thickBot="1">
      <c r="A27" s="13">
        <v>40560</v>
      </c>
      <c r="B27" s="14" t="s">
        <v>12</v>
      </c>
      <c r="C27" s="14" t="s">
        <v>22</v>
      </c>
      <c r="D27" s="15">
        <v>1647</v>
      </c>
      <c r="E27" s="14" t="s">
        <v>83</v>
      </c>
      <c r="F27" s="14" t="s">
        <v>17</v>
      </c>
      <c r="G27" s="14" t="s">
        <v>28</v>
      </c>
      <c r="H27" s="16">
        <v>61</v>
      </c>
      <c r="I27" s="15">
        <v>1647</v>
      </c>
      <c r="J27" s="16">
        <v>885</v>
      </c>
      <c r="K27" s="17">
        <v>89</v>
      </c>
      <c r="L27" s="17">
        <v>72</v>
      </c>
      <c r="M27" s="17">
        <v>73</v>
      </c>
      <c r="N27" s="17">
        <v>81</v>
      </c>
      <c r="O27" s="17">
        <v>315</v>
      </c>
      <c r="P27" s="11" t="s">
        <v>65</v>
      </c>
      <c r="Q27" s="11"/>
      <c r="R27" s="11"/>
      <c r="S27" s="37" t="s">
        <v>63</v>
      </c>
      <c r="T27" s="38">
        <v>316</v>
      </c>
      <c r="AF27" s="14" t="s">
        <v>40</v>
      </c>
      <c r="AH27" s="13">
        <v>40552</v>
      </c>
      <c r="AI27" s="14" t="str">
        <f t="shared" si="0"/>
        <v>BELLEN</v>
      </c>
      <c r="AJ27" s="14" t="s">
        <v>9</v>
      </c>
      <c r="AK27" s="16">
        <v>880</v>
      </c>
      <c r="AL27" s="14" t="s">
        <v>63</v>
      </c>
      <c r="AM27" s="14" t="s">
        <v>10</v>
      </c>
      <c r="AN27" s="14" t="str">
        <f t="shared" si="1"/>
        <v>Epp</v>
      </c>
      <c r="AO27" s="16">
        <v>40</v>
      </c>
      <c r="AP27" s="16">
        <v>880</v>
      </c>
      <c r="AQ27" s="16">
        <v>400</v>
      </c>
      <c r="AR27" s="17">
        <v>75</v>
      </c>
      <c r="AS27" s="17">
        <v>93</v>
      </c>
      <c r="AT27" s="17">
        <v>80</v>
      </c>
      <c r="AU27" s="17">
        <v>87</v>
      </c>
      <c r="AV27" s="17">
        <v>335</v>
      </c>
      <c r="AW27" s="11" t="s">
        <v>65</v>
      </c>
      <c r="BA27" s="14" t="s">
        <v>27</v>
      </c>
      <c r="BB27" s="16">
        <f t="shared" si="2"/>
        <v>3</v>
      </c>
      <c r="BD27" s="36" t="s">
        <v>44</v>
      </c>
      <c r="BE27" s="38">
        <v>1913</v>
      </c>
      <c r="BF27" s="38">
        <v>1913</v>
      </c>
      <c r="BJ27" s="37" t="s">
        <v>12</v>
      </c>
      <c r="BK27" s="38">
        <v>1647</v>
      </c>
    </row>
    <row r="28" spans="1:63" ht="14.25" customHeight="1" thickBot="1">
      <c r="A28" s="13">
        <v>40563</v>
      </c>
      <c r="B28" s="14" t="s">
        <v>8</v>
      </c>
      <c r="C28" s="14" t="s">
        <v>9</v>
      </c>
      <c r="D28" s="15">
        <v>1357</v>
      </c>
      <c r="E28" s="14" t="s">
        <v>63</v>
      </c>
      <c r="F28" s="14" t="s">
        <v>17</v>
      </c>
      <c r="G28" s="14" t="s">
        <v>29</v>
      </c>
      <c r="H28" s="16">
        <v>59</v>
      </c>
      <c r="I28" s="15">
        <v>1357</v>
      </c>
      <c r="J28" s="16">
        <v>649</v>
      </c>
      <c r="K28" s="17">
        <v>98</v>
      </c>
      <c r="L28" s="17">
        <v>60</v>
      </c>
      <c r="M28" s="17">
        <v>76</v>
      </c>
      <c r="N28" s="17">
        <v>88</v>
      </c>
      <c r="O28" s="17">
        <v>322</v>
      </c>
      <c r="P28" s="11" t="s">
        <v>65</v>
      </c>
      <c r="Q28" s="11"/>
      <c r="R28" s="11"/>
      <c r="S28" s="36" t="s">
        <v>65</v>
      </c>
      <c r="T28" s="38">
        <v>322.49275362318838</v>
      </c>
      <c r="AF28" s="14" t="s">
        <v>41</v>
      </c>
      <c r="AH28" s="13">
        <v>40597</v>
      </c>
      <c r="AI28" s="14" t="str">
        <f t="shared" si="0"/>
        <v>BELLEN</v>
      </c>
      <c r="AJ28" s="14" t="s">
        <v>9</v>
      </c>
      <c r="AK28" s="16">
        <v>880</v>
      </c>
      <c r="AL28" s="14" t="s">
        <v>63</v>
      </c>
      <c r="AM28" s="14" t="s">
        <v>10</v>
      </c>
      <c r="AN28" s="14" t="str">
        <f t="shared" si="1"/>
        <v>Epp</v>
      </c>
      <c r="AO28" s="16">
        <v>40</v>
      </c>
      <c r="AP28" s="16">
        <v>880</v>
      </c>
      <c r="AQ28" s="16">
        <v>400</v>
      </c>
      <c r="AR28" s="17">
        <v>71</v>
      </c>
      <c r="AS28" s="17">
        <v>98</v>
      </c>
      <c r="AT28" s="17">
        <v>92</v>
      </c>
      <c r="AU28" s="17">
        <v>85</v>
      </c>
      <c r="AV28" s="17">
        <v>346</v>
      </c>
      <c r="AW28" s="11" t="s">
        <v>71</v>
      </c>
      <c r="BA28" s="14" t="s">
        <v>27</v>
      </c>
      <c r="BB28" s="16">
        <f t="shared" si="2"/>
        <v>3</v>
      </c>
      <c r="BD28" s="36" t="s">
        <v>45</v>
      </c>
      <c r="BE28" s="38">
        <v>2263</v>
      </c>
      <c r="BF28" s="38">
        <v>2263</v>
      </c>
      <c r="BJ28" s="37" t="s">
        <v>20</v>
      </c>
      <c r="BK28" s="38">
        <v>1197</v>
      </c>
    </row>
    <row r="29" spans="1:63" ht="14.25" customHeight="1" thickBot="1">
      <c r="A29" s="13">
        <v>40593</v>
      </c>
      <c r="B29" s="14" t="s">
        <v>8</v>
      </c>
      <c r="C29" s="14" t="s">
        <v>9</v>
      </c>
      <c r="D29" s="15">
        <v>1357</v>
      </c>
      <c r="E29" s="14" t="s">
        <v>63</v>
      </c>
      <c r="F29" s="14" t="s">
        <v>17</v>
      </c>
      <c r="G29" s="14" t="s">
        <v>29</v>
      </c>
      <c r="H29" s="16">
        <v>59</v>
      </c>
      <c r="I29" s="15">
        <v>1357</v>
      </c>
      <c r="J29" s="16">
        <v>649</v>
      </c>
      <c r="K29" s="17">
        <v>78</v>
      </c>
      <c r="L29" s="17">
        <v>80</v>
      </c>
      <c r="M29" s="17">
        <v>87</v>
      </c>
      <c r="N29" s="17">
        <v>99</v>
      </c>
      <c r="O29" s="17">
        <v>344</v>
      </c>
      <c r="P29" s="11" t="s">
        <v>65</v>
      </c>
      <c r="Q29" s="11"/>
      <c r="R29" s="11"/>
      <c r="S29" s="37" t="s">
        <v>83</v>
      </c>
      <c r="T29" s="38">
        <v>319.39999999999998</v>
      </c>
      <c r="AF29" s="14" t="s">
        <v>42</v>
      </c>
      <c r="AH29" s="13">
        <v>40560</v>
      </c>
      <c r="AI29" s="14" t="str">
        <f t="shared" si="0"/>
        <v>QUAD</v>
      </c>
      <c r="AJ29" s="14" t="s">
        <v>22</v>
      </c>
      <c r="AK29" s="15">
        <v>1647</v>
      </c>
      <c r="AL29" s="14" t="s">
        <v>83</v>
      </c>
      <c r="AM29" s="14" t="s">
        <v>17</v>
      </c>
      <c r="AN29" s="14" t="str">
        <f t="shared" si="1"/>
        <v>Epp</v>
      </c>
      <c r="AO29" s="16">
        <v>61</v>
      </c>
      <c r="AP29" s="15">
        <v>1647</v>
      </c>
      <c r="AQ29" s="16">
        <v>885</v>
      </c>
      <c r="AR29" s="17">
        <v>89</v>
      </c>
      <c r="AS29" s="17">
        <v>72</v>
      </c>
      <c r="AT29" s="17">
        <v>73</v>
      </c>
      <c r="AU29" s="17">
        <v>81</v>
      </c>
      <c r="AV29" s="17">
        <v>315</v>
      </c>
      <c r="AW29" s="11" t="s">
        <v>65</v>
      </c>
      <c r="BA29" s="14" t="s">
        <v>27</v>
      </c>
      <c r="BB29" s="16">
        <f t="shared" si="2"/>
        <v>3</v>
      </c>
      <c r="BD29" s="36" t="s">
        <v>68</v>
      </c>
      <c r="BE29" s="38">
        <v>376</v>
      </c>
      <c r="BF29" s="38">
        <v>376</v>
      </c>
      <c r="BJ29" s="37" t="s">
        <v>14</v>
      </c>
      <c r="BK29" s="38">
        <v>1216</v>
      </c>
    </row>
    <row r="30" spans="1:63" ht="14.25" customHeight="1" thickBot="1">
      <c r="A30" s="13">
        <v>40548</v>
      </c>
      <c r="B30" s="14" t="s">
        <v>14</v>
      </c>
      <c r="C30" s="14" t="s">
        <v>19</v>
      </c>
      <c r="D30" s="16">
        <v>228</v>
      </c>
      <c r="E30" s="14" t="s">
        <v>63</v>
      </c>
      <c r="F30" s="14" t="s">
        <v>15</v>
      </c>
      <c r="G30" s="14" t="s">
        <v>29</v>
      </c>
      <c r="H30" s="16">
        <v>12</v>
      </c>
      <c r="I30" s="16">
        <v>228</v>
      </c>
      <c r="J30" s="16">
        <v>96</v>
      </c>
      <c r="K30" s="17">
        <v>79</v>
      </c>
      <c r="L30" s="17">
        <v>75</v>
      </c>
      <c r="M30" s="17">
        <v>70</v>
      </c>
      <c r="N30" s="17">
        <v>65</v>
      </c>
      <c r="O30" s="17">
        <v>289</v>
      </c>
      <c r="P30" s="11" t="s">
        <v>71</v>
      </c>
      <c r="Q30" s="11"/>
      <c r="R30" s="11"/>
      <c r="S30" s="37" t="s">
        <v>63</v>
      </c>
      <c r="T30" s="38">
        <v>324.87179487179486</v>
      </c>
      <c r="AF30" s="14" t="s">
        <v>43</v>
      </c>
      <c r="AH30" s="13">
        <v>40563</v>
      </c>
      <c r="AI30" s="14" t="str">
        <f t="shared" si="0"/>
        <v>CARLOTA</v>
      </c>
      <c r="AJ30" s="14" t="s">
        <v>9</v>
      </c>
      <c r="AK30" s="15">
        <v>1357</v>
      </c>
      <c r="AL30" s="14" t="s">
        <v>63</v>
      </c>
      <c r="AM30" s="14" t="s">
        <v>17</v>
      </c>
      <c r="AN30" s="14" t="str">
        <f t="shared" si="1"/>
        <v>Et</v>
      </c>
      <c r="AO30" s="16">
        <v>59</v>
      </c>
      <c r="AP30" s="15">
        <v>1357</v>
      </c>
      <c r="AQ30" s="16">
        <v>649</v>
      </c>
      <c r="AR30" s="17">
        <v>98</v>
      </c>
      <c r="AS30" s="17">
        <v>60</v>
      </c>
      <c r="AT30" s="17">
        <v>76</v>
      </c>
      <c r="AU30" s="17">
        <v>88</v>
      </c>
      <c r="AV30" s="17">
        <v>322</v>
      </c>
      <c r="AW30" s="11" t="s">
        <v>65</v>
      </c>
      <c r="BA30" s="14" t="s">
        <v>27</v>
      </c>
      <c r="BB30" s="16">
        <f t="shared" si="2"/>
        <v>3</v>
      </c>
      <c r="BD30" s="36" t="s">
        <v>77</v>
      </c>
      <c r="BE30" s="38">
        <v>325</v>
      </c>
      <c r="BF30" s="38">
        <v>325</v>
      </c>
      <c r="BJ30" s="36" t="s">
        <v>63</v>
      </c>
      <c r="BK30" s="38">
        <v>5000</v>
      </c>
    </row>
    <row r="31" spans="1:63" ht="14.25" customHeight="1" thickBot="1">
      <c r="A31" s="13">
        <v>40593</v>
      </c>
      <c r="B31" s="14" t="s">
        <v>14</v>
      </c>
      <c r="C31" s="14" t="s">
        <v>19</v>
      </c>
      <c r="D31" s="16">
        <v>228</v>
      </c>
      <c r="E31" s="14" t="s">
        <v>63</v>
      </c>
      <c r="F31" s="14" t="s">
        <v>15</v>
      </c>
      <c r="G31" s="14" t="s">
        <v>29</v>
      </c>
      <c r="H31" s="16">
        <v>12</v>
      </c>
      <c r="I31" s="16">
        <v>228</v>
      </c>
      <c r="J31" s="16">
        <v>96</v>
      </c>
      <c r="K31" s="17">
        <v>60</v>
      </c>
      <c r="L31" s="17">
        <v>63</v>
      </c>
      <c r="M31" s="17">
        <v>68</v>
      </c>
      <c r="N31" s="17">
        <v>94</v>
      </c>
      <c r="O31" s="17">
        <v>285</v>
      </c>
      <c r="P31" s="11" t="s">
        <v>71</v>
      </c>
      <c r="Q31" s="11"/>
      <c r="R31" s="11"/>
      <c r="S31" s="36" t="s">
        <v>261</v>
      </c>
      <c r="T31" s="38">
        <v>321.01481481481483</v>
      </c>
      <c r="AF31" s="14" t="s">
        <v>44</v>
      </c>
      <c r="AH31" s="13">
        <v>40593</v>
      </c>
      <c r="AI31" s="14" t="str">
        <f t="shared" si="0"/>
        <v>CARLOTA</v>
      </c>
      <c r="AJ31" s="14" t="s">
        <v>9</v>
      </c>
      <c r="AK31" s="15">
        <v>1357</v>
      </c>
      <c r="AL31" s="14" t="s">
        <v>63</v>
      </c>
      <c r="AM31" s="14" t="s">
        <v>17</v>
      </c>
      <c r="AN31" s="14" t="str">
        <f t="shared" si="1"/>
        <v>Et</v>
      </c>
      <c r="AO31" s="16">
        <v>59</v>
      </c>
      <c r="AP31" s="15">
        <v>1357</v>
      </c>
      <c r="AQ31" s="16">
        <v>649</v>
      </c>
      <c r="AR31" s="17">
        <v>78</v>
      </c>
      <c r="AS31" s="17">
        <v>80</v>
      </c>
      <c r="AT31" s="17">
        <v>87</v>
      </c>
      <c r="AU31" s="17">
        <v>99</v>
      </c>
      <c r="AV31" s="17">
        <v>344</v>
      </c>
      <c r="AW31" s="11" t="s">
        <v>65</v>
      </c>
      <c r="BA31" s="14" t="s">
        <v>28</v>
      </c>
      <c r="BB31" s="16">
        <f t="shared" si="2"/>
        <v>3</v>
      </c>
      <c r="BD31" s="36" t="s">
        <v>70</v>
      </c>
      <c r="BE31" s="38">
        <v>325</v>
      </c>
      <c r="BF31" s="38">
        <v>325</v>
      </c>
      <c r="BJ31" s="37" t="s">
        <v>16</v>
      </c>
      <c r="BK31" s="38">
        <v>5000</v>
      </c>
    </row>
    <row r="32" spans="1:63" ht="14.25" customHeight="1" thickBot="1">
      <c r="A32" s="13">
        <v>40553</v>
      </c>
      <c r="B32" s="14" t="s">
        <v>16</v>
      </c>
      <c r="C32" s="14" t="s">
        <v>22</v>
      </c>
      <c r="D32" s="16">
        <v>154</v>
      </c>
      <c r="E32" s="14" t="s">
        <v>83</v>
      </c>
      <c r="F32" s="14" t="s">
        <v>21</v>
      </c>
      <c r="G32" s="14" t="s">
        <v>30</v>
      </c>
      <c r="H32" s="16">
        <v>7</v>
      </c>
      <c r="I32" s="16">
        <v>154</v>
      </c>
      <c r="J32" s="16">
        <v>70</v>
      </c>
      <c r="K32" s="17">
        <v>60</v>
      </c>
      <c r="L32" s="17">
        <v>81</v>
      </c>
      <c r="M32" s="17">
        <v>60</v>
      </c>
      <c r="N32" s="17">
        <v>63</v>
      </c>
      <c r="O32" s="17">
        <v>264</v>
      </c>
      <c r="P32" s="11" t="s">
        <v>65</v>
      </c>
      <c r="Q32" s="11"/>
      <c r="R32" s="11"/>
      <c r="AF32" s="14" t="s">
        <v>45</v>
      </c>
      <c r="AH32" s="13">
        <v>40548</v>
      </c>
      <c r="AI32" s="14" t="str">
        <f t="shared" si="0"/>
        <v>SUNSHINE</v>
      </c>
      <c r="AJ32" s="14" t="s">
        <v>19</v>
      </c>
      <c r="AK32" s="16">
        <v>228</v>
      </c>
      <c r="AL32" s="14" t="s">
        <v>63</v>
      </c>
      <c r="AM32" s="14" t="s">
        <v>15</v>
      </c>
      <c r="AN32" s="14" t="str">
        <f t="shared" si="1"/>
        <v>Et</v>
      </c>
      <c r="AO32" s="16">
        <v>12</v>
      </c>
      <c r="AP32" s="16">
        <v>228</v>
      </c>
      <c r="AQ32" s="16">
        <v>96</v>
      </c>
      <c r="AR32" s="17">
        <v>79</v>
      </c>
      <c r="AS32" s="17">
        <v>75</v>
      </c>
      <c r="AT32" s="17">
        <v>70</v>
      </c>
      <c r="AU32" s="17">
        <v>65</v>
      </c>
      <c r="AV32" s="17">
        <v>289</v>
      </c>
      <c r="AW32" s="11" t="s">
        <v>71</v>
      </c>
      <c r="BA32" s="14" t="s">
        <v>28</v>
      </c>
      <c r="BB32" s="16">
        <f t="shared" si="2"/>
        <v>3</v>
      </c>
      <c r="BD32" s="36" t="s">
        <v>46</v>
      </c>
      <c r="BE32" s="38">
        <v>962</v>
      </c>
      <c r="BF32" s="38">
        <v>962</v>
      </c>
      <c r="BJ32" s="37" t="s">
        <v>8</v>
      </c>
      <c r="BK32" s="38">
        <v>1449</v>
      </c>
    </row>
    <row r="33" spans="1:63" ht="14.25" customHeight="1" thickBot="1">
      <c r="A33" s="13">
        <v>40546</v>
      </c>
      <c r="B33" s="14" t="s">
        <v>8</v>
      </c>
      <c r="C33" s="14" t="s">
        <v>22</v>
      </c>
      <c r="D33" s="16">
        <v>460</v>
      </c>
      <c r="E33" s="14" t="s">
        <v>83</v>
      </c>
      <c r="F33" s="14" t="s">
        <v>17</v>
      </c>
      <c r="G33" s="14" t="s">
        <v>30</v>
      </c>
      <c r="H33" s="16">
        <v>20</v>
      </c>
      <c r="I33" s="16">
        <v>460</v>
      </c>
      <c r="J33" s="16">
        <v>220</v>
      </c>
      <c r="K33" s="17">
        <v>63</v>
      </c>
      <c r="L33" s="17">
        <v>63</v>
      </c>
      <c r="M33" s="17">
        <v>93</v>
      </c>
      <c r="N33" s="17">
        <v>96</v>
      </c>
      <c r="O33" s="17">
        <v>315</v>
      </c>
      <c r="P33" s="11" t="s">
        <v>71</v>
      </c>
      <c r="Q33" s="11"/>
      <c r="R33" s="11"/>
      <c r="AF33" s="14" t="s">
        <v>46</v>
      </c>
      <c r="AH33" s="13">
        <v>40593</v>
      </c>
      <c r="AI33" s="14" t="str">
        <f t="shared" si="0"/>
        <v>SUNSHINE</v>
      </c>
      <c r="AJ33" s="14" t="s">
        <v>19</v>
      </c>
      <c r="AK33" s="16">
        <v>228</v>
      </c>
      <c r="AL33" s="14" t="s">
        <v>63</v>
      </c>
      <c r="AM33" s="14" t="s">
        <v>15</v>
      </c>
      <c r="AN33" s="14" t="str">
        <f t="shared" si="1"/>
        <v>Et</v>
      </c>
      <c r="AO33" s="16">
        <v>12</v>
      </c>
      <c r="AP33" s="16">
        <v>228</v>
      </c>
      <c r="AQ33" s="16">
        <v>96</v>
      </c>
      <c r="AR33" s="17">
        <v>60</v>
      </c>
      <c r="AS33" s="17">
        <v>63</v>
      </c>
      <c r="AT33" s="17">
        <v>68</v>
      </c>
      <c r="AU33" s="17">
        <v>94</v>
      </c>
      <c r="AV33" s="17">
        <v>285</v>
      </c>
      <c r="AW33" s="11" t="s">
        <v>71</v>
      </c>
      <c r="BA33" s="14" t="s">
        <v>28</v>
      </c>
      <c r="BB33" s="16">
        <f t="shared" si="2"/>
        <v>3</v>
      </c>
      <c r="BD33" s="36" t="s">
        <v>47</v>
      </c>
      <c r="BE33" s="38">
        <v>1523</v>
      </c>
      <c r="BF33" s="38">
        <v>1523</v>
      </c>
      <c r="BJ33" s="37" t="s">
        <v>12</v>
      </c>
      <c r="BK33" s="38">
        <v>1755</v>
      </c>
    </row>
    <row r="34" spans="1:63" ht="14.25" customHeight="1" thickBot="1">
      <c r="A34" s="13">
        <v>40591</v>
      </c>
      <c r="B34" s="14" t="s">
        <v>8</v>
      </c>
      <c r="C34" s="14" t="s">
        <v>22</v>
      </c>
      <c r="D34" s="16">
        <v>460</v>
      </c>
      <c r="E34" s="14" t="s">
        <v>83</v>
      </c>
      <c r="F34" s="14" t="s">
        <v>17</v>
      </c>
      <c r="G34" s="14" t="s">
        <v>30</v>
      </c>
      <c r="H34" s="16">
        <v>20</v>
      </c>
      <c r="I34" s="16">
        <v>460</v>
      </c>
      <c r="J34" s="16">
        <v>220</v>
      </c>
      <c r="K34" s="17">
        <v>79</v>
      </c>
      <c r="L34" s="17">
        <v>87</v>
      </c>
      <c r="M34" s="17">
        <v>92</v>
      </c>
      <c r="N34" s="17">
        <v>90</v>
      </c>
      <c r="O34" s="17">
        <v>348</v>
      </c>
      <c r="P34" s="11" t="s">
        <v>65</v>
      </c>
      <c r="Q34" s="11"/>
      <c r="R34" s="11"/>
      <c r="S34" t="s">
        <v>322</v>
      </c>
      <c r="AF34" s="14" t="s">
        <v>47</v>
      </c>
      <c r="AH34" s="13">
        <v>40553</v>
      </c>
      <c r="AI34" s="14" t="str">
        <f t="shared" si="0"/>
        <v>BELLEN</v>
      </c>
      <c r="AJ34" s="14" t="s">
        <v>22</v>
      </c>
      <c r="AK34" s="16">
        <v>154</v>
      </c>
      <c r="AL34" s="14" t="s">
        <v>83</v>
      </c>
      <c r="AM34" s="14" t="s">
        <v>21</v>
      </c>
      <c r="AN34" s="14" t="str">
        <f t="shared" si="1"/>
        <v>Fm</v>
      </c>
      <c r="AO34" s="16">
        <v>7</v>
      </c>
      <c r="AP34" s="16">
        <v>154</v>
      </c>
      <c r="AQ34" s="16">
        <v>70</v>
      </c>
      <c r="AR34" s="17">
        <v>60</v>
      </c>
      <c r="AS34" s="17">
        <v>81</v>
      </c>
      <c r="AT34" s="17">
        <v>60</v>
      </c>
      <c r="AU34" s="17">
        <v>63</v>
      </c>
      <c r="AV34" s="17">
        <v>264</v>
      </c>
      <c r="AW34" s="11" t="s">
        <v>65</v>
      </c>
      <c r="BA34" s="14" t="s">
        <v>29</v>
      </c>
      <c r="BB34" s="16">
        <f t="shared" si="2"/>
        <v>2</v>
      </c>
      <c r="BD34" s="36" t="s">
        <v>48</v>
      </c>
      <c r="BE34" s="38">
        <v>939</v>
      </c>
      <c r="BF34" s="38">
        <v>939</v>
      </c>
      <c r="BJ34" s="37" t="s">
        <v>20</v>
      </c>
      <c r="BK34" s="38">
        <v>1323</v>
      </c>
    </row>
    <row r="35" spans="1:63" ht="14.25" customHeight="1" thickBot="1">
      <c r="A35" s="13">
        <v>40556</v>
      </c>
      <c r="B35" s="14" t="s">
        <v>8</v>
      </c>
      <c r="C35" s="14" t="s">
        <v>26</v>
      </c>
      <c r="D35" s="15">
        <v>1196</v>
      </c>
      <c r="E35" s="14" t="s">
        <v>83</v>
      </c>
      <c r="F35" s="14" t="s">
        <v>24</v>
      </c>
      <c r="G35" s="14" t="s">
        <v>30</v>
      </c>
      <c r="H35" s="16">
        <v>52</v>
      </c>
      <c r="I35" s="15">
        <v>1196</v>
      </c>
      <c r="J35" s="16">
        <v>572</v>
      </c>
      <c r="K35" s="17">
        <v>64</v>
      </c>
      <c r="L35" s="17">
        <v>93</v>
      </c>
      <c r="M35" s="17">
        <v>90</v>
      </c>
      <c r="N35" s="17">
        <v>94</v>
      </c>
      <c r="O35" s="17">
        <v>341</v>
      </c>
      <c r="P35" s="11" t="s">
        <v>71</v>
      </c>
      <c r="Q35" s="11"/>
      <c r="R35" s="11"/>
      <c r="S35" s="35" t="s">
        <v>260</v>
      </c>
      <c r="T35" s="34" t="s">
        <v>315</v>
      </c>
      <c r="U35" s="34" t="s">
        <v>316</v>
      </c>
      <c r="AF35" s="14" t="s">
        <v>48</v>
      </c>
      <c r="AH35" s="13">
        <v>40546</v>
      </c>
      <c r="AI35" s="14" t="str">
        <f t="shared" si="0"/>
        <v>CARLOTA</v>
      </c>
      <c r="AJ35" s="14" t="s">
        <v>22</v>
      </c>
      <c r="AK35" s="16">
        <v>460</v>
      </c>
      <c r="AL35" s="14" t="s">
        <v>83</v>
      </c>
      <c r="AM35" s="14" t="s">
        <v>17</v>
      </c>
      <c r="AN35" s="14" t="str">
        <f t="shared" si="1"/>
        <v>Fm</v>
      </c>
      <c r="AO35" s="16">
        <v>20</v>
      </c>
      <c r="AP35" s="16">
        <v>460</v>
      </c>
      <c r="AQ35" s="16">
        <v>220</v>
      </c>
      <c r="AR35" s="17">
        <v>63</v>
      </c>
      <c r="AS35" s="17">
        <v>63</v>
      </c>
      <c r="AT35" s="17">
        <v>93</v>
      </c>
      <c r="AU35" s="17">
        <v>96</v>
      </c>
      <c r="AV35" s="17">
        <v>315</v>
      </c>
      <c r="AW35" s="11" t="s">
        <v>71</v>
      </c>
      <c r="BA35" s="14" t="s">
        <v>29</v>
      </c>
      <c r="BB35" s="16">
        <f t="shared" si="2"/>
        <v>2</v>
      </c>
      <c r="BD35" s="36" t="s">
        <v>49</v>
      </c>
      <c r="BE35" s="38">
        <v>1251</v>
      </c>
      <c r="BF35" s="38">
        <v>1251</v>
      </c>
      <c r="BJ35" s="37" t="s">
        <v>14</v>
      </c>
      <c r="BK35" s="38">
        <v>1102</v>
      </c>
    </row>
    <row r="36" spans="1:63" ht="14.25" customHeight="1" thickBot="1">
      <c r="A36" s="13">
        <v>40564</v>
      </c>
      <c r="B36" s="14" t="s">
        <v>12</v>
      </c>
      <c r="C36" s="14" t="s">
        <v>9</v>
      </c>
      <c r="D36" s="15">
        <v>1566</v>
      </c>
      <c r="E36" s="14" t="s">
        <v>63</v>
      </c>
      <c r="F36" s="14" t="s">
        <v>17</v>
      </c>
      <c r="G36" s="14" t="s">
        <v>30</v>
      </c>
      <c r="H36" s="16">
        <v>58</v>
      </c>
      <c r="I36" s="15">
        <v>1566</v>
      </c>
      <c r="J36" s="16">
        <v>841</v>
      </c>
      <c r="K36" s="17">
        <v>70</v>
      </c>
      <c r="L36" s="17">
        <v>85</v>
      </c>
      <c r="M36" s="17">
        <v>96</v>
      </c>
      <c r="N36" s="17">
        <v>85</v>
      </c>
      <c r="O36" s="17">
        <v>336</v>
      </c>
      <c r="P36" s="11" t="s">
        <v>71</v>
      </c>
      <c r="Q36" s="11"/>
      <c r="R36" s="11"/>
      <c r="S36" s="36" t="s">
        <v>9</v>
      </c>
      <c r="T36" s="38">
        <v>198</v>
      </c>
      <c r="U36" s="38">
        <v>1674</v>
      </c>
      <c r="AF36" s="14" t="s">
        <v>49</v>
      </c>
      <c r="AH36" s="13">
        <v>40591</v>
      </c>
      <c r="AI36" s="14" t="str">
        <f t="shared" si="0"/>
        <v>CARLOTA</v>
      </c>
      <c r="AJ36" s="14" t="s">
        <v>22</v>
      </c>
      <c r="AK36" s="16">
        <v>460</v>
      </c>
      <c r="AL36" s="14" t="s">
        <v>83</v>
      </c>
      <c r="AM36" s="14" t="s">
        <v>17</v>
      </c>
      <c r="AN36" s="14" t="str">
        <f t="shared" si="1"/>
        <v>Fm</v>
      </c>
      <c r="AO36" s="16">
        <v>20</v>
      </c>
      <c r="AP36" s="16">
        <v>460</v>
      </c>
      <c r="AQ36" s="16">
        <v>220</v>
      </c>
      <c r="AR36" s="17">
        <v>79</v>
      </c>
      <c r="AS36" s="17">
        <v>87</v>
      </c>
      <c r="AT36" s="17">
        <v>92</v>
      </c>
      <c r="AU36" s="17">
        <v>90</v>
      </c>
      <c r="AV36" s="17">
        <v>348</v>
      </c>
      <c r="AW36" s="11" t="s">
        <v>65</v>
      </c>
      <c r="BA36" s="14" t="s">
        <v>29</v>
      </c>
      <c r="BB36" s="16">
        <f t="shared" si="2"/>
        <v>2</v>
      </c>
      <c r="BD36" s="36" t="s">
        <v>50</v>
      </c>
      <c r="BE36" s="38">
        <v>1306</v>
      </c>
      <c r="BF36" s="38">
        <v>1306</v>
      </c>
      <c r="BJ36" s="36" t="s">
        <v>261</v>
      </c>
      <c r="BK36" s="38">
        <v>5000</v>
      </c>
    </row>
    <row r="37" spans="1:63" ht="14.25" customHeight="1" thickBot="1">
      <c r="A37" s="13">
        <v>40565</v>
      </c>
      <c r="B37" s="14" t="s">
        <v>12</v>
      </c>
      <c r="C37" s="14" t="s">
        <v>26</v>
      </c>
      <c r="D37" s="16">
        <v>783</v>
      </c>
      <c r="E37" s="14" t="s">
        <v>83</v>
      </c>
      <c r="F37" s="14" t="s">
        <v>15</v>
      </c>
      <c r="G37" s="14" t="s">
        <v>30</v>
      </c>
      <c r="H37" s="16">
        <v>29</v>
      </c>
      <c r="I37" s="16">
        <v>783</v>
      </c>
      <c r="J37" s="16">
        <v>421</v>
      </c>
      <c r="K37" s="17">
        <v>82</v>
      </c>
      <c r="L37" s="17">
        <v>72</v>
      </c>
      <c r="M37" s="17">
        <v>99</v>
      </c>
      <c r="N37" s="17">
        <v>78</v>
      </c>
      <c r="O37" s="17">
        <v>331</v>
      </c>
      <c r="P37" s="11" t="s">
        <v>71</v>
      </c>
      <c r="Q37" s="11"/>
      <c r="R37" s="11"/>
      <c r="S37" s="37" t="s">
        <v>71</v>
      </c>
      <c r="T37" s="38">
        <v>198</v>
      </c>
      <c r="U37" s="38">
        <v>1674</v>
      </c>
      <c r="AF37" s="14" t="s">
        <v>50</v>
      </c>
      <c r="AH37" s="13">
        <v>40556</v>
      </c>
      <c r="AI37" s="14" t="str">
        <f t="shared" si="0"/>
        <v>CARLOTA</v>
      </c>
      <c r="AJ37" s="14" t="s">
        <v>26</v>
      </c>
      <c r="AK37" s="15">
        <v>1196</v>
      </c>
      <c r="AL37" s="14" t="s">
        <v>83</v>
      </c>
      <c r="AM37" s="14" t="s">
        <v>24</v>
      </c>
      <c r="AN37" s="14" t="str">
        <f t="shared" si="1"/>
        <v>Fm</v>
      </c>
      <c r="AO37" s="16">
        <v>52</v>
      </c>
      <c r="AP37" s="15">
        <v>1196</v>
      </c>
      <c r="AQ37" s="16">
        <v>572</v>
      </c>
      <c r="AR37" s="17">
        <v>64</v>
      </c>
      <c r="AS37" s="17">
        <v>93</v>
      </c>
      <c r="AT37" s="17">
        <v>90</v>
      </c>
      <c r="AU37" s="17">
        <v>94</v>
      </c>
      <c r="AV37" s="17">
        <v>341</v>
      </c>
      <c r="AW37" s="11" t="s">
        <v>71</v>
      </c>
      <c r="BA37" s="14" t="s">
        <v>29</v>
      </c>
      <c r="BB37" s="16">
        <f t="shared" si="2"/>
        <v>2</v>
      </c>
      <c r="BD37" s="36" t="s">
        <v>51</v>
      </c>
      <c r="BE37" s="38">
        <v>1733</v>
      </c>
      <c r="BF37" s="38">
        <v>1733</v>
      </c>
    </row>
    <row r="38" spans="1:63" ht="14.25" customHeight="1" thickBot="1">
      <c r="A38" s="13">
        <v>40571</v>
      </c>
      <c r="B38" s="14" t="s">
        <v>20</v>
      </c>
      <c r="C38" s="14" t="s">
        <v>19</v>
      </c>
      <c r="D38" s="15">
        <v>1302</v>
      </c>
      <c r="E38" s="14" t="s">
        <v>63</v>
      </c>
      <c r="F38" s="14" t="s">
        <v>17</v>
      </c>
      <c r="G38" s="14" t="s">
        <v>30</v>
      </c>
      <c r="H38" s="16">
        <v>62</v>
      </c>
      <c r="I38" s="15">
        <v>1302</v>
      </c>
      <c r="J38" s="16">
        <v>574</v>
      </c>
      <c r="K38" s="17">
        <v>71</v>
      </c>
      <c r="L38" s="17">
        <v>75</v>
      </c>
      <c r="M38" s="17">
        <v>87</v>
      </c>
      <c r="N38" s="17">
        <v>69</v>
      </c>
      <c r="O38" s="17">
        <v>302</v>
      </c>
      <c r="P38" s="11" t="s">
        <v>65</v>
      </c>
      <c r="Q38" s="11"/>
      <c r="R38" s="11"/>
      <c r="S38" s="37" t="s">
        <v>65</v>
      </c>
      <c r="T38" s="38">
        <v>357</v>
      </c>
      <c r="U38" s="38">
        <v>1674</v>
      </c>
      <c r="AF38" s="14" t="s">
        <v>51</v>
      </c>
      <c r="AH38" s="13">
        <v>40564</v>
      </c>
      <c r="AI38" s="14" t="str">
        <f t="shared" si="0"/>
        <v>QUAD</v>
      </c>
      <c r="AJ38" s="14" t="s">
        <v>9</v>
      </c>
      <c r="AK38" s="15">
        <v>1566</v>
      </c>
      <c r="AL38" s="14" t="s">
        <v>63</v>
      </c>
      <c r="AM38" s="14" t="s">
        <v>17</v>
      </c>
      <c r="AN38" s="14" t="str">
        <f t="shared" si="1"/>
        <v>Fm</v>
      </c>
      <c r="AO38" s="16">
        <v>58</v>
      </c>
      <c r="AP38" s="15">
        <v>1566</v>
      </c>
      <c r="AQ38" s="16">
        <v>841</v>
      </c>
      <c r="AR38" s="17">
        <v>70</v>
      </c>
      <c r="AS38" s="17">
        <v>85</v>
      </c>
      <c r="AT38" s="17">
        <v>96</v>
      </c>
      <c r="AU38" s="17">
        <v>85</v>
      </c>
      <c r="AV38" s="17">
        <v>336</v>
      </c>
      <c r="AW38" s="11" t="s">
        <v>71</v>
      </c>
      <c r="BA38" s="14" t="s">
        <v>30</v>
      </c>
      <c r="BB38" s="16">
        <f t="shared" si="2"/>
        <v>2</v>
      </c>
      <c r="BD38" s="36" t="s">
        <v>80</v>
      </c>
      <c r="BE38" s="38">
        <v>338</v>
      </c>
      <c r="BF38" s="38">
        <v>338</v>
      </c>
    </row>
    <row r="39" spans="1:63" ht="14.25" customHeight="1" thickBot="1">
      <c r="A39" s="13">
        <v>40546</v>
      </c>
      <c r="B39" s="14" t="s">
        <v>14</v>
      </c>
      <c r="C39" s="14" t="s">
        <v>9</v>
      </c>
      <c r="D39" s="16">
        <v>722</v>
      </c>
      <c r="E39" s="14" t="s">
        <v>63</v>
      </c>
      <c r="F39" s="14" t="s">
        <v>10</v>
      </c>
      <c r="G39" s="14" t="s">
        <v>30</v>
      </c>
      <c r="H39" s="16">
        <v>38</v>
      </c>
      <c r="I39" s="16">
        <v>722</v>
      </c>
      <c r="J39" s="16">
        <v>304</v>
      </c>
      <c r="K39" s="17">
        <v>94</v>
      </c>
      <c r="L39" s="17">
        <v>89</v>
      </c>
      <c r="M39" s="17">
        <v>70</v>
      </c>
      <c r="N39" s="17">
        <v>78</v>
      </c>
      <c r="O39" s="17">
        <v>331</v>
      </c>
      <c r="P39" s="11" t="s">
        <v>65</v>
      </c>
      <c r="Q39" s="11"/>
      <c r="R39" s="11"/>
      <c r="S39" s="36" t="s">
        <v>22</v>
      </c>
      <c r="T39" s="38">
        <v>152</v>
      </c>
      <c r="U39" s="38">
        <v>1647</v>
      </c>
      <c r="AF39" s="14" t="s">
        <v>52</v>
      </c>
      <c r="AH39" s="13">
        <v>40565</v>
      </c>
      <c r="AI39" s="14" t="str">
        <f t="shared" si="0"/>
        <v>QUAD</v>
      </c>
      <c r="AJ39" s="14" t="s">
        <v>26</v>
      </c>
      <c r="AK39" s="16">
        <v>783</v>
      </c>
      <c r="AL39" s="14" t="s">
        <v>83</v>
      </c>
      <c r="AM39" s="14" t="s">
        <v>15</v>
      </c>
      <c r="AN39" s="14" t="str">
        <f t="shared" si="1"/>
        <v>Fm</v>
      </c>
      <c r="AO39" s="16">
        <v>29</v>
      </c>
      <c r="AP39" s="16">
        <v>783</v>
      </c>
      <c r="AQ39" s="16">
        <v>421</v>
      </c>
      <c r="AR39" s="17">
        <v>82</v>
      </c>
      <c r="AS39" s="17">
        <v>72</v>
      </c>
      <c r="AT39" s="17">
        <v>99</v>
      </c>
      <c r="AU39" s="17">
        <v>78</v>
      </c>
      <c r="AV39" s="17">
        <v>331</v>
      </c>
      <c r="AW39" s="11" t="s">
        <v>71</v>
      </c>
      <c r="BA39" s="14" t="s">
        <v>30</v>
      </c>
      <c r="BB39" s="16">
        <f t="shared" si="2"/>
        <v>2</v>
      </c>
      <c r="BD39" s="36" t="s">
        <v>52</v>
      </c>
      <c r="BE39" s="38">
        <v>3190</v>
      </c>
      <c r="BF39" s="38">
        <v>3190</v>
      </c>
    </row>
    <row r="40" spans="1:63" ht="14.25" customHeight="1" thickBot="1">
      <c r="A40" s="13">
        <v>40569</v>
      </c>
      <c r="B40" s="14" t="s">
        <v>16</v>
      </c>
      <c r="C40" s="14" t="s">
        <v>19</v>
      </c>
      <c r="D40" s="15">
        <v>5000</v>
      </c>
      <c r="E40" s="14" t="s">
        <v>63</v>
      </c>
      <c r="F40" s="14" t="s">
        <v>10</v>
      </c>
      <c r="G40" s="14" t="s">
        <v>31</v>
      </c>
      <c r="H40" s="16">
        <v>61</v>
      </c>
      <c r="I40" s="15">
        <v>5000</v>
      </c>
      <c r="J40" s="16">
        <v>610</v>
      </c>
      <c r="K40" s="17">
        <v>96</v>
      </c>
      <c r="L40" s="17">
        <v>66</v>
      </c>
      <c r="M40" s="17">
        <v>77</v>
      </c>
      <c r="N40" s="17">
        <v>77</v>
      </c>
      <c r="O40" s="17">
        <v>316</v>
      </c>
      <c r="P40" s="11" t="s">
        <v>65</v>
      </c>
      <c r="Q40" s="11"/>
      <c r="R40" s="11"/>
      <c r="S40" s="37" t="s">
        <v>71</v>
      </c>
      <c r="T40" s="38">
        <v>209</v>
      </c>
      <c r="U40" s="38">
        <v>1232</v>
      </c>
      <c r="AF40" s="14" t="s">
        <v>53</v>
      </c>
      <c r="AH40" s="13">
        <v>40571</v>
      </c>
      <c r="AI40" s="14" t="str">
        <f t="shared" si="0"/>
        <v>SUNSET</v>
      </c>
      <c r="AJ40" s="14" t="s">
        <v>19</v>
      </c>
      <c r="AK40" s="15">
        <v>1302</v>
      </c>
      <c r="AL40" s="14" t="s">
        <v>63</v>
      </c>
      <c r="AM40" s="14" t="s">
        <v>17</v>
      </c>
      <c r="AN40" s="14" t="str">
        <f t="shared" si="1"/>
        <v>Fm</v>
      </c>
      <c r="AO40" s="16">
        <v>62</v>
      </c>
      <c r="AP40" s="15">
        <v>1302</v>
      </c>
      <c r="AQ40" s="16">
        <v>574</v>
      </c>
      <c r="AR40" s="17">
        <v>71</v>
      </c>
      <c r="AS40" s="17">
        <v>75</v>
      </c>
      <c r="AT40" s="17">
        <v>87</v>
      </c>
      <c r="AU40" s="17">
        <v>69</v>
      </c>
      <c r="AV40" s="17">
        <v>302</v>
      </c>
      <c r="AW40" s="11" t="s">
        <v>65</v>
      </c>
      <c r="BA40" s="14" t="s">
        <v>30</v>
      </c>
      <c r="BB40" s="16">
        <f t="shared" si="2"/>
        <v>2</v>
      </c>
      <c r="BD40" s="36" t="s">
        <v>53</v>
      </c>
      <c r="BE40" s="38">
        <v>385</v>
      </c>
      <c r="BF40" s="38">
        <v>385</v>
      </c>
    </row>
    <row r="41" spans="1:63" ht="14.25" customHeight="1" thickBot="1">
      <c r="A41" s="13">
        <v>40571</v>
      </c>
      <c r="B41" s="14" t="s">
        <v>14</v>
      </c>
      <c r="C41" s="14" t="s">
        <v>26</v>
      </c>
      <c r="D41" s="16">
        <v>969</v>
      </c>
      <c r="E41" s="14" t="s">
        <v>83</v>
      </c>
      <c r="F41" s="14" t="s">
        <v>24</v>
      </c>
      <c r="G41" s="14" t="s">
        <v>31</v>
      </c>
      <c r="H41" s="16">
        <v>51</v>
      </c>
      <c r="I41" s="16">
        <v>969</v>
      </c>
      <c r="J41" s="16">
        <v>408</v>
      </c>
      <c r="K41" s="17">
        <v>68</v>
      </c>
      <c r="L41" s="17">
        <v>95</v>
      </c>
      <c r="M41" s="17">
        <v>68</v>
      </c>
      <c r="N41" s="17">
        <v>89</v>
      </c>
      <c r="O41" s="17">
        <v>320</v>
      </c>
      <c r="P41" s="11" t="s">
        <v>71</v>
      </c>
      <c r="Q41" s="11"/>
      <c r="R41" s="11"/>
      <c r="S41" s="37" t="s">
        <v>65</v>
      </c>
      <c r="T41" s="38">
        <v>152</v>
      </c>
      <c r="U41" s="38">
        <v>1647</v>
      </c>
      <c r="AH41" s="13">
        <v>40546</v>
      </c>
      <c r="AI41" s="14" t="str">
        <f t="shared" si="0"/>
        <v>SUNSHINE</v>
      </c>
      <c r="AJ41" s="14" t="s">
        <v>9</v>
      </c>
      <c r="AK41" s="16">
        <v>722</v>
      </c>
      <c r="AL41" s="14" t="s">
        <v>63</v>
      </c>
      <c r="AM41" s="14" t="s">
        <v>10</v>
      </c>
      <c r="AN41" s="14" t="str">
        <f t="shared" si="1"/>
        <v>Fm</v>
      </c>
      <c r="AO41" s="16">
        <v>38</v>
      </c>
      <c r="AP41" s="16">
        <v>722</v>
      </c>
      <c r="AQ41" s="16">
        <v>304</v>
      </c>
      <c r="AR41" s="17">
        <v>94</v>
      </c>
      <c r="AS41" s="17">
        <v>89</v>
      </c>
      <c r="AT41" s="17">
        <v>70</v>
      </c>
      <c r="AU41" s="17">
        <v>78</v>
      </c>
      <c r="AV41" s="17">
        <v>331</v>
      </c>
      <c r="AW41" s="11" t="s">
        <v>65</v>
      </c>
      <c r="BA41" s="14" t="s">
        <v>30</v>
      </c>
      <c r="BB41" s="16">
        <f t="shared" si="2"/>
        <v>2</v>
      </c>
      <c r="BD41" s="36" t="s">
        <v>261</v>
      </c>
      <c r="BE41" s="38">
        <v>43337</v>
      </c>
      <c r="BF41" s="38">
        <v>43337</v>
      </c>
    </row>
    <row r="42" spans="1:63" ht="14.25" customHeight="1" thickBot="1">
      <c r="A42" s="13">
        <v>40601</v>
      </c>
      <c r="B42" s="14" t="s">
        <v>14</v>
      </c>
      <c r="C42" s="14" t="s">
        <v>26</v>
      </c>
      <c r="D42" s="16">
        <v>969</v>
      </c>
      <c r="E42" s="14" t="s">
        <v>83</v>
      </c>
      <c r="F42" s="14" t="s">
        <v>24</v>
      </c>
      <c r="G42" s="14" t="s">
        <v>31</v>
      </c>
      <c r="H42" s="16">
        <v>51</v>
      </c>
      <c r="I42" s="16">
        <v>969</v>
      </c>
      <c r="J42" s="16">
        <v>408</v>
      </c>
      <c r="K42" s="17">
        <v>96</v>
      </c>
      <c r="L42" s="17">
        <v>78</v>
      </c>
      <c r="M42" s="17">
        <v>99</v>
      </c>
      <c r="N42" s="17">
        <v>98</v>
      </c>
      <c r="O42" s="17">
        <v>371</v>
      </c>
      <c r="P42" s="11" t="s">
        <v>71</v>
      </c>
      <c r="Q42" s="11"/>
      <c r="R42" s="11"/>
      <c r="S42" s="36" t="s">
        <v>26</v>
      </c>
      <c r="T42" s="38">
        <v>114</v>
      </c>
      <c r="U42" s="38">
        <v>1512</v>
      </c>
      <c r="AH42" s="13">
        <v>40569</v>
      </c>
      <c r="AI42" s="14" t="str">
        <f t="shared" si="0"/>
        <v>BELLEN</v>
      </c>
      <c r="AJ42" s="14" t="s">
        <v>19</v>
      </c>
      <c r="AK42" s="15">
        <v>5000</v>
      </c>
      <c r="AL42" s="14" t="s">
        <v>63</v>
      </c>
      <c r="AM42" s="14" t="s">
        <v>10</v>
      </c>
      <c r="AN42" s="14" t="str">
        <f t="shared" si="1"/>
        <v>Fred</v>
      </c>
      <c r="AO42" s="16">
        <v>61</v>
      </c>
      <c r="AP42" s="15">
        <v>5000</v>
      </c>
      <c r="AQ42" s="16">
        <v>610</v>
      </c>
      <c r="AR42" s="17">
        <v>96</v>
      </c>
      <c r="AS42" s="17">
        <v>66</v>
      </c>
      <c r="AT42" s="17">
        <v>77</v>
      </c>
      <c r="AU42" s="17">
        <v>77</v>
      </c>
      <c r="AV42" s="17">
        <v>316</v>
      </c>
      <c r="AW42" s="11" t="s">
        <v>65</v>
      </c>
      <c r="BA42" s="14" t="s">
        <v>30</v>
      </c>
      <c r="BB42" s="16">
        <f t="shared" si="2"/>
        <v>2</v>
      </c>
    </row>
    <row r="43" spans="1:63" ht="14.25" customHeight="1" thickBot="1">
      <c r="A43" s="13">
        <v>40550</v>
      </c>
      <c r="B43" s="14" t="s">
        <v>8</v>
      </c>
      <c r="C43" s="14" t="s">
        <v>22</v>
      </c>
      <c r="D43" s="16">
        <v>276</v>
      </c>
      <c r="E43" s="14" t="s">
        <v>83</v>
      </c>
      <c r="F43" s="14" t="s">
        <v>15</v>
      </c>
      <c r="G43" s="14" t="s">
        <v>32</v>
      </c>
      <c r="H43" s="16">
        <v>12</v>
      </c>
      <c r="I43" s="16">
        <v>276</v>
      </c>
      <c r="J43" s="16">
        <v>132</v>
      </c>
      <c r="K43" s="17">
        <v>73</v>
      </c>
      <c r="L43" s="17">
        <v>71</v>
      </c>
      <c r="M43" s="17">
        <v>90</v>
      </c>
      <c r="N43" s="17">
        <v>75</v>
      </c>
      <c r="O43" s="17">
        <v>309</v>
      </c>
      <c r="P43" s="11" t="s">
        <v>65</v>
      </c>
      <c r="Q43" s="11"/>
      <c r="R43" s="11"/>
      <c r="S43" s="37" t="s">
        <v>71</v>
      </c>
      <c r="T43" s="38">
        <v>114</v>
      </c>
      <c r="U43" s="38">
        <v>1512</v>
      </c>
      <c r="AH43" s="13">
        <v>40571</v>
      </c>
      <c r="AI43" s="14" t="str">
        <f t="shared" si="0"/>
        <v>SUNSHINE</v>
      </c>
      <c r="AJ43" s="14" t="s">
        <v>26</v>
      </c>
      <c r="AK43" s="16">
        <v>969</v>
      </c>
      <c r="AL43" s="14" t="s">
        <v>83</v>
      </c>
      <c r="AM43" s="14" t="s">
        <v>24</v>
      </c>
      <c r="AN43" s="14" t="str">
        <f t="shared" si="1"/>
        <v>Fred</v>
      </c>
      <c r="AO43" s="16">
        <v>51</v>
      </c>
      <c r="AP43" s="16">
        <v>969</v>
      </c>
      <c r="AQ43" s="16">
        <v>408</v>
      </c>
      <c r="AR43" s="17">
        <v>68</v>
      </c>
      <c r="AS43" s="17">
        <v>95</v>
      </c>
      <c r="AT43" s="17">
        <v>68</v>
      </c>
      <c r="AU43" s="17">
        <v>89</v>
      </c>
      <c r="AV43" s="17">
        <v>320</v>
      </c>
      <c r="AW43" s="11" t="s">
        <v>71</v>
      </c>
      <c r="BA43" s="14" t="s">
        <v>30</v>
      </c>
      <c r="BB43" s="16">
        <f t="shared" si="2"/>
        <v>2</v>
      </c>
    </row>
    <row r="44" spans="1:63" ht="14.25" customHeight="1" thickBot="1">
      <c r="A44" s="13">
        <v>40580</v>
      </c>
      <c r="B44" s="14" t="s">
        <v>8</v>
      </c>
      <c r="C44" s="14" t="s">
        <v>22</v>
      </c>
      <c r="D44" s="16">
        <v>276</v>
      </c>
      <c r="E44" s="14" t="s">
        <v>83</v>
      </c>
      <c r="F44" s="14" t="s">
        <v>15</v>
      </c>
      <c r="G44" s="14" t="s">
        <v>32</v>
      </c>
      <c r="H44" s="16">
        <v>12</v>
      </c>
      <c r="I44" s="16">
        <v>276</v>
      </c>
      <c r="J44" s="16">
        <v>132</v>
      </c>
      <c r="K44" s="17">
        <v>83</v>
      </c>
      <c r="L44" s="17">
        <v>65</v>
      </c>
      <c r="M44" s="17">
        <v>93</v>
      </c>
      <c r="N44" s="17">
        <v>86</v>
      </c>
      <c r="O44" s="17">
        <v>327</v>
      </c>
      <c r="P44" s="11" t="s">
        <v>71</v>
      </c>
      <c r="Q44" s="11"/>
      <c r="R44" s="11"/>
      <c r="S44" s="37" t="s">
        <v>65</v>
      </c>
      <c r="T44" s="38">
        <v>242</v>
      </c>
      <c r="U44" s="38">
        <v>1512</v>
      </c>
      <c r="AH44" s="13">
        <v>40601</v>
      </c>
      <c r="AI44" s="14" t="str">
        <f t="shared" si="0"/>
        <v>SUNSHINE</v>
      </c>
      <c r="AJ44" s="14" t="s">
        <v>26</v>
      </c>
      <c r="AK44" s="16">
        <v>969</v>
      </c>
      <c r="AL44" s="14" t="s">
        <v>83</v>
      </c>
      <c r="AM44" s="14" t="s">
        <v>24</v>
      </c>
      <c r="AN44" s="14" t="str">
        <f t="shared" si="1"/>
        <v>Fred</v>
      </c>
      <c r="AO44" s="16">
        <v>51</v>
      </c>
      <c r="AP44" s="16">
        <v>969</v>
      </c>
      <c r="AQ44" s="16">
        <v>408</v>
      </c>
      <c r="AR44" s="17">
        <v>96</v>
      </c>
      <c r="AS44" s="17">
        <v>78</v>
      </c>
      <c r="AT44" s="17">
        <v>99</v>
      </c>
      <c r="AU44" s="17">
        <v>98</v>
      </c>
      <c r="AV44" s="17">
        <v>371</v>
      </c>
      <c r="AW44" s="11" t="s">
        <v>71</v>
      </c>
      <c r="BA44" s="14" t="s">
        <v>30</v>
      </c>
      <c r="BB44" s="16">
        <f t="shared" si="2"/>
        <v>2</v>
      </c>
    </row>
    <row r="45" spans="1:63" ht="14.25" customHeight="1" thickBot="1">
      <c r="A45" s="13">
        <v>40564</v>
      </c>
      <c r="B45" s="14" t="s">
        <v>20</v>
      </c>
      <c r="C45" s="14" t="s">
        <v>26</v>
      </c>
      <c r="D45" s="16">
        <v>273</v>
      </c>
      <c r="E45" s="14" t="s">
        <v>83</v>
      </c>
      <c r="F45" s="14" t="s">
        <v>10</v>
      </c>
      <c r="G45" s="14" t="s">
        <v>32</v>
      </c>
      <c r="H45" s="16">
        <v>13</v>
      </c>
      <c r="I45" s="16">
        <v>273</v>
      </c>
      <c r="J45" s="16">
        <v>120</v>
      </c>
      <c r="K45" s="17">
        <v>93</v>
      </c>
      <c r="L45" s="17">
        <v>64</v>
      </c>
      <c r="M45" s="17">
        <v>94</v>
      </c>
      <c r="N45" s="17">
        <v>86</v>
      </c>
      <c r="O45" s="17">
        <v>337</v>
      </c>
      <c r="P45" s="11" t="s">
        <v>65</v>
      </c>
      <c r="Q45" s="11"/>
      <c r="R45" s="11"/>
      <c r="S45" s="36" t="s">
        <v>19</v>
      </c>
      <c r="T45" s="38">
        <v>132</v>
      </c>
      <c r="U45" s="38">
        <v>5000</v>
      </c>
      <c r="AH45" s="13">
        <v>40550</v>
      </c>
      <c r="AI45" s="14" t="str">
        <f t="shared" si="0"/>
        <v>CARLOTA</v>
      </c>
      <c r="AJ45" s="14" t="s">
        <v>22</v>
      </c>
      <c r="AK45" s="16">
        <v>276</v>
      </c>
      <c r="AL45" s="14" t="s">
        <v>83</v>
      </c>
      <c r="AM45" s="14" t="s">
        <v>15</v>
      </c>
      <c r="AN45" s="14" t="str">
        <f t="shared" si="1"/>
        <v>Hhh</v>
      </c>
      <c r="AO45" s="16">
        <v>12</v>
      </c>
      <c r="AP45" s="16">
        <v>276</v>
      </c>
      <c r="AQ45" s="16">
        <v>132</v>
      </c>
      <c r="AR45" s="17">
        <v>73</v>
      </c>
      <c r="AS45" s="17">
        <v>71</v>
      </c>
      <c r="AT45" s="17">
        <v>90</v>
      </c>
      <c r="AU45" s="17">
        <v>75</v>
      </c>
      <c r="AV45" s="17">
        <v>309</v>
      </c>
      <c r="AW45" s="11" t="s">
        <v>65</v>
      </c>
      <c r="BA45" s="14" t="s">
        <v>30</v>
      </c>
      <c r="BB45" s="16">
        <f t="shared" si="2"/>
        <v>2</v>
      </c>
    </row>
    <row r="46" spans="1:63" ht="14.25" customHeight="1" thickBot="1">
      <c r="A46" s="13">
        <v>40560</v>
      </c>
      <c r="B46" s="14" t="s">
        <v>14</v>
      </c>
      <c r="C46" s="14" t="s">
        <v>22</v>
      </c>
      <c r="D46" s="15">
        <v>1121</v>
      </c>
      <c r="E46" s="14" t="s">
        <v>83</v>
      </c>
      <c r="F46" s="14" t="s">
        <v>15</v>
      </c>
      <c r="G46" s="14" t="s">
        <v>32</v>
      </c>
      <c r="H46" s="16">
        <v>59</v>
      </c>
      <c r="I46" s="15">
        <v>1121</v>
      </c>
      <c r="J46" s="16">
        <v>472</v>
      </c>
      <c r="K46" s="17">
        <v>62</v>
      </c>
      <c r="L46" s="17">
        <v>65</v>
      </c>
      <c r="M46" s="17">
        <v>99</v>
      </c>
      <c r="N46" s="17">
        <v>65</v>
      </c>
      <c r="O46" s="17">
        <v>291</v>
      </c>
      <c r="P46" s="11" t="s">
        <v>65</v>
      </c>
      <c r="Q46" s="11"/>
      <c r="R46" s="11"/>
      <c r="S46" s="37" t="s">
        <v>71</v>
      </c>
      <c r="T46" s="38">
        <v>132</v>
      </c>
      <c r="U46" s="38">
        <v>1512</v>
      </c>
      <c r="AH46" s="13">
        <v>40580</v>
      </c>
      <c r="AI46" s="14" t="str">
        <f t="shared" si="0"/>
        <v>CARLOTA</v>
      </c>
      <c r="AJ46" s="14" t="s">
        <v>22</v>
      </c>
      <c r="AK46" s="16">
        <v>276</v>
      </c>
      <c r="AL46" s="14" t="s">
        <v>83</v>
      </c>
      <c r="AM46" s="14" t="s">
        <v>15</v>
      </c>
      <c r="AN46" s="14" t="str">
        <f t="shared" si="1"/>
        <v>Hhh</v>
      </c>
      <c r="AO46" s="16">
        <v>12</v>
      </c>
      <c r="AP46" s="16">
        <v>276</v>
      </c>
      <c r="AQ46" s="16">
        <v>132</v>
      </c>
      <c r="AR46" s="17">
        <v>83</v>
      </c>
      <c r="AS46" s="17">
        <v>65</v>
      </c>
      <c r="AT46" s="17">
        <v>93</v>
      </c>
      <c r="AU46" s="17">
        <v>86</v>
      </c>
      <c r="AV46" s="17">
        <v>327</v>
      </c>
      <c r="AW46" s="11" t="s">
        <v>71</v>
      </c>
      <c r="BA46" s="14" t="s">
        <v>31</v>
      </c>
      <c r="BB46" s="16">
        <f t="shared" si="2"/>
        <v>4</v>
      </c>
    </row>
    <row r="47" spans="1:63" ht="14.25" customHeight="1" thickBot="1">
      <c r="A47" s="13">
        <v>40560</v>
      </c>
      <c r="B47" s="14" t="s">
        <v>12</v>
      </c>
      <c r="C47" s="14" t="s">
        <v>9</v>
      </c>
      <c r="D47" s="15">
        <v>1674</v>
      </c>
      <c r="E47" s="14" t="s">
        <v>63</v>
      </c>
      <c r="F47" s="14" t="s">
        <v>15</v>
      </c>
      <c r="G47" s="14" t="s">
        <v>33</v>
      </c>
      <c r="H47" s="16">
        <v>62</v>
      </c>
      <c r="I47" s="15">
        <v>1674</v>
      </c>
      <c r="J47" s="16">
        <v>899</v>
      </c>
      <c r="K47" s="17">
        <v>100</v>
      </c>
      <c r="L47" s="17">
        <v>76</v>
      </c>
      <c r="M47" s="17">
        <v>81</v>
      </c>
      <c r="N47" s="17">
        <v>78</v>
      </c>
      <c r="O47" s="17">
        <v>335</v>
      </c>
      <c r="P47" s="11" t="s">
        <v>65</v>
      </c>
      <c r="Q47" s="11"/>
      <c r="R47" s="11"/>
      <c r="S47" s="37" t="s">
        <v>65</v>
      </c>
      <c r="T47" s="38">
        <v>132</v>
      </c>
      <c r="U47" s="38">
        <v>5000</v>
      </c>
      <c r="AH47" s="13">
        <v>40564</v>
      </c>
      <c r="AI47" s="14" t="str">
        <f t="shared" si="0"/>
        <v>SUNSET</v>
      </c>
      <c r="AJ47" s="14" t="s">
        <v>26</v>
      </c>
      <c r="AK47" s="16">
        <v>273</v>
      </c>
      <c r="AL47" s="14" t="s">
        <v>83</v>
      </c>
      <c r="AM47" s="14" t="s">
        <v>10</v>
      </c>
      <c r="AN47" s="14" t="str">
        <f t="shared" si="1"/>
        <v>Hhh</v>
      </c>
      <c r="AO47" s="16">
        <v>13</v>
      </c>
      <c r="AP47" s="16">
        <v>273</v>
      </c>
      <c r="AQ47" s="16">
        <v>120</v>
      </c>
      <c r="AR47" s="17">
        <v>93</v>
      </c>
      <c r="AS47" s="17">
        <v>64</v>
      </c>
      <c r="AT47" s="17">
        <v>94</v>
      </c>
      <c r="AU47" s="17">
        <v>86</v>
      </c>
      <c r="AV47" s="17">
        <v>337</v>
      </c>
      <c r="AW47" s="11" t="s">
        <v>65</v>
      </c>
      <c r="BA47" s="14" t="s">
        <v>31</v>
      </c>
      <c r="BB47" s="16">
        <f t="shared" si="2"/>
        <v>4</v>
      </c>
    </row>
    <row r="48" spans="1:63" ht="14.25" customHeight="1" thickBot="1">
      <c r="A48" s="13">
        <v>40590</v>
      </c>
      <c r="B48" s="14" t="s">
        <v>12</v>
      </c>
      <c r="C48" s="14" t="s">
        <v>9</v>
      </c>
      <c r="D48" s="15">
        <v>1674</v>
      </c>
      <c r="E48" s="14" t="s">
        <v>63</v>
      </c>
      <c r="F48" s="14" t="s">
        <v>15</v>
      </c>
      <c r="G48" s="14" t="s">
        <v>33</v>
      </c>
      <c r="H48" s="16">
        <v>62</v>
      </c>
      <c r="I48" s="15">
        <v>1674</v>
      </c>
      <c r="J48" s="16">
        <v>899</v>
      </c>
      <c r="K48" s="17">
        <v>60</v>
      </c>
      <c r="L48" s="17">
        <v>71</v>
      </c>
      <c r="M48" s="17">
        <v>83</v>
      </c>
      <c r="N48" s="17">
        <v>61</v>
      </c>
      <c r="O48" s="17">
        <v>275</v>
      </c>
      <c r="P48" s="11" t="s">
        <v>71</v>
      </c>
      <c r="Q48" s="11"/>
      <c r="R48" s="11"/>
      <c r="S48" s="36" t="s">
        <v>261</v>
      </c>
      <c r="T48" s="38">
        <v>114</v>
      </c>
      <c r="U48" s="38">
        <v>5000</v>
      </c>
      <c r="AH48" s="13">
        <v>40560</v>
      </c>
      <c r="AI48" s="14" t="str">
        <f t="shared" si="0"/>
        <v>SUNSHINE</v>
      </c>
      <c r="AJ48" s="14" t="s">
        <v>22</v>
      </c>
      <c r="AK48" s="15">
        <v>1121</v>
      </c>
      <c r="AL48" s="14" t="s">
        <v>83</v>
      </c>
      <c r="AM48" s="14" t="s">
        <v>15</v>
      </c>
      <c r="AN48" s="14" t="str">
        <f t="shared" si="1"/>
        <v>Hhh</v>
      </c>
      <c r="AO48" s="16">
        <v>59</v>
      </c>
      <c r="AP48" s="15">
        <v>1121</v>
      </c>
      <c r="AQ48" s="16">
        <v>472</v>
      </c>
      <c r="AR48" s="17">
        <v>62</v>
      </c>
      <c r="AS48" s="17">
        <v>65</v>
      </c>
      <c r="AT48" s="17">
        <v>99</v>
      </c>
      <c r="AU48" s="17">
        <v>65</v>
      </c>
      <c r="AV48" s="17">
        <v>291</v>
      </c>
      <c r="AW48" s="11" t="s">
        <v>65</v>
      </c>
      <c r="BA48" s="14" t="s">
        <v>31</v>
      </c>
      <c r="BB48" s="16">
        <f t="shared" si="2"/>
        <v>4</v>
      </c>
    </row>
    <row r="49" spans="1:54" ht="14.25" customHeight="1" thickBot="1">
      <c r="A49" s="13">
        <v>40551</v>
      </c>
      <c r="B49" s="14" t="s">
        <v>12</v>
      </c>
      <c r="C49" s="14" t="s">
        <v>19</v>
      </c>
      <c r="D49" s="16">
        <v>432</v>
      </c>
      <c r="E49" s="14" t="s">
        <v>63</v>
      </c>
      <c r="F49" s="14" t="s">
        <v>17</v>
      </c>
      <c r="G49" s="14" t="s">
        <v>33</v>
      </c>
      <c r="H49" s="16">
        <v>16</v>
      </c>
      <c r="I49" s="16">
        <v>432</v>
      </c>
      <c r="J49" s="16">
        <v>232</v>
      </c>
      <c r="K49" s="17">
        <v>80</v>
      </c>
      <c r="L49" s="17">
        <v>84</v>
      </c>
      <c r="M49" s="17">
        <v>100</v>
      </c>
      <c r="N49" s="17">
        <v>88</v>
      </c>
      <c r="O49" s="17">
        <v>352</v>
      </c>
      <c r="P49" s="11" t="s">
        <v>71</v>
      </c>
      <c r="Q49" s="11"/>
      <c r="R49" s="11"/>
      <c r="S49" s="11"/>
      <c r="AH49" s="13">
        <v>40560</v>
      </c>
      <c r="AI49" s="14" t="str">
        <f t="shared" si="0"/>
        <v>QUAD</v>
      </c>
      <c r="AJ49" s="14" t="s">
        <v>9</v>
      </c>
      <c r="AK49" s="15">
        <v>1674</v>
      </c>
      <c r="AL49" s="14" t="s">
        <v>63</v>
      </c>
      <c r="AM49" s="14" t="s">
        <v>15</v>
      </c>
      <c r="AN49" s="14" t="str">
        <f t="shared" si="1"/>
        <v>Hii</v>
      </c>
      <c r="AO49" s="16">
        <v>62</v>
      </c>
      <c r="AP49" s="15">
        <v>1674</v>
      </c>
      <c r="AQ49" s="16">
        <v>899</v>
      </c>
      <c r="AR49" s="17">
        <v>100</v>
      </c>
      <c r="AS49" s="17">
        <v>76</v>
      </c>
      <c r="AT49" s="17">
        <v>81</v>
      </c>
      <c r="AU49" s="17">
        <v>78</v>
      </c>
      <c r="AV49" s="17">
        <v>335</v>
      </c>
      <c r="AW49" s="11" t="s">
        <v>65</v>
      </c>
      <c r="BA49" s="14" t="s">
        <v>32</v>
      </c>
      <c r="BB49" s="16">
        <f t="shared" si="2"/>
        <v>3</v>
      </c>
    </row>
    <row r="50" spans="1:54" ht="14.25" customHeight="1" thickBot="1">
      <c r="A50" s="13">
        <v>40567</v>
      </c>
      <c r="B50" s="14" t="s">
        <v>12</v>
      </c>
      <c r="C50" s="14" t="s">
        <v>19</v>
      </c>
      <c r="D50" s="15">
        <v>1701</v>
      </c>
      <c r="E50" s="14" t="s">
        <v>63</v>
      </c>
      <c r="F50" s="14" t="s">
        <v>21</v>
      </c>
      <c r="G50" s="14" t="s">
        <v>33</v>
      </c>
      <c r="H50" s="16">
        <v>63</v>
      </c>
      <c r="I50" s="15">
        <v>1701</v>
      </c>
      <c r="J50" s="16">
        <v>914</v>
      </c>
      <c r="K50" s="17">
        <v>79</v>
      </c>
      <c r="L50" s="17">
        <v>61</v>
      </c>
      <c r="M50" s="17">
        <v>85</v>
      </c>
      <c r="N50" s="17">
        <v>71</v>
      </c>
      <c r="O50" s="17">
        <v>296</v>
      </c>
      <c r="P50" s="11" t="s">
        <v>65</v>
      </c>
      <c r="Q50" s="11"/>
      <c r="R50" s="11"/>
      <c r="S50" s="11"/>
      <c r="AH50" s="13">
        <v>40590</v>
      </c>
      <c r="AI50" s="14" t="str">
        <f t="shared" si="0"/>
        <v>QUAD</v>
      </c>
      <c r="AJ50" s="14" t="s">
        <v>9</v>
      </c>
      <c r="AK50" s="15">
        <v>1674</v>
      </c>
      <c r="AL50" s="14" t="s">
        <v>63</v>
      </c>
      <c r="AM50" s="14" t="s">
        <v>15</v>
      </c>
      <c r="AN50" s="14" t="str">
        <f t="shared" si="1"/>
        <v>Hii</v>
      </c>
      <c r="AO50" s="16">
        <v>62</v>
      </c>
      <c r="AP50" s="15">
        <v>1674</v>
      </c>
      <c r="AQ50" s="16">
        <v>899</v>
      </c>
      <c r="AR50" s="17">
        <v>60</v>
      </c>
      <c r="AS50" s="17">
        <v>71</v>
      </c>
      <c r="AT50" s="17">
        <v>83</v>
      </c>
      <c r="AU50" s="17">
        <v>61</v>
      </c>
      <c r="AV50" s="17">
        <v>275</v>
      </c>
      <c r="AW50" s="11" t="s">
        <v>71</v>
      </c>
      <c r="BA50" s="14" t="s">
        <v>32</v>
      </c>
      <c r="BB50" s="16">
        <f t="shared" si="2"/>
        <v>3</v>
      </c>
    </row>
    <row r="51" spans="1:54" ht="14.25" customHeight="1" thickBot="1">
      <c r="A51" s="13">
        <v>40548</v>
      </c>
      <c r="B51" s="14" t="s">
        <v>8</v>
      </c>
      <c r="C51" s="14" t="s">
        <v>19</v>
      </c>
      <c r="D51" s="15">
        <v>1380</v>
      </c>
      <c r="E51" s="14" t="s">
        <v>63</v>
      </c>
      <c r="F51" s="14" t="s">
        <v>15</v>
      </c>
      <c r="G51" s="14" t="s">
        <v>34</v>
      </c>
      <c r="H51" s="16">
        <v>60</v>
      </c>
      <c r="I51" s="15">
        <v>1380</v>
      </c>
      <c r="J51" s="16">
        <v>660</v>
      </c>
      <c r="K51" s="17">
        <v>62</v>
      </c>
      <c r="L51" s="17">
        <v>71</v>
      </c>
      <c r="M51" s="17">
        <v>72</v>
      </c>
      <c r="N51" s="17">
        <v>80</v>
      </c>
      <c r="O51" s="17">
        <v>285</v>
      </c>
      <c r="P51" s="11" t="s">
        <v>71</v>
      </c>
      <c r="Q51" s="11"/>
      <c r="R51" s="11"/>
      <c r="S51" s="11"/>
      <c r="AH51" s="13">
        <v>40551</v>
      </c>
      <c r="AI51" s="14" t="str">
        <f t="shared" si="0"/>
        <v>QUAD</v>
      </c>
      <c r="AJ51" s="14" t="s">
        <v>19</v>
      </c>
      <c r="AK51" s="16">
        <v>432</v>
      </c>
      <c r="AL51" s="14" t="s">
        <v>63</v>
      </c>
      <c r="AM51" s="14" t="s">
        <v>17</v>
      </c>
      <c r="AN51" s="14" t="str">
        <f t="shared" si="1"/>
        <v>Hii</v>
      </c>
      <c r="AO51" s="16">
        <v>16</v>
      </c>
      <c r="AP51" s="16">
        <v>432</v>
      </c>
      <c r="AQ51" s="16">
        <v>232</v>
      </c>
      <c r="AR51" s="17">
        <v>80</v>
      </c>
      <c r="AS51" s="17">
        <v>84</v>
      </c>
      <c r="AT51" s="17">
        <v>100</v>
      </c>
      <c r="AU51" s="17">
        <v>88</v>
      </c>
      <c r="AV51" s="17">
        <v>352</v>
      </c>
      <c r="AW51" s="11" t="s">
        <v>71</v>
      </c>
      <c r="BA51" s="14" t="s">
        <v>32</v>
      </c>
      <c r="BB51" s="16">
        <f t="shared" si="2"/>
        <v>3</v>
      </c>
    </row>
    <row r="52" spans="1:54" ht="14.25" customHeight="1" thickBot="1">
      <c r="A52" s="13">
        <v>40578</v>
      </c>
      <c r="B52" s="14" t="s">
        <v>8</v>
      </c>
      <c r="C52" s="14" t="s">
        <v>19</v>
      </c>
      <c r="D52" s="15">
        <v>1380</v>
      </c>
      <c r="E52" s="14" t="s">
        <v>63</v>
      </c>
      <c r="F52" s="14" t="s">
        <v>15</v>
      </c>
      <c r="G52" s="14" t="s">
        <v>34</v>
      </c>
      <c r="H52" s="16">
        <v>60</v>
      </c>
      <c r="I52" s="15">
        <v>1380</v>
      </c>
      <c r="J52" s="16">
        <v>660</v>
      </c>
      <c r="K52" s="17">
        <v>76</v>
      </c>
      <c r="L52" s="17">
        <v>86</v>
      </c>
      <c r="M52" s="17">
        <v>75</v>
      </c>
      <c r="N52" s="17">
        <v>75</v>
      </c>
      <c r="O52" s="17">
        <v>312</v>
      </c>
      <c r="P52" s="11" t="s">
        <v>65</v>
      </c>
      <c r="Q52" s="11"/>
      <c r="R52" s="11"/>
      <c r="S52" s="11"/>
      <c r="AH52" s="13">
        <v>40567</v>
      </c>
      <c r="AI52" s="14" t="str">
        <f t="shared" si="0"/>
        <v>QUAD</v>
      </c>
      <c r="AJ52" s="14" t="s">
        <v>19</v>
      </c>
      <c r="AK52" s="15">
        <v>1701</v>
      </c>
      <c r="AL52" s="14" t="s">
        <v>63</v>
      </c>
      <c r="AM52" s="14" t="s">
        <v>21</v>
      </c>
      <c r="AN52" s="14" t="str">
        <f t="shared" si="1"/>
        <v>Hii</v>
      </c>
      <c r="AO52" s="16">
        <v>63</v>
      </c>
      <c r="AP52" s="15">
        <v>1701</v>
      </c>
      <c r="AQ52" s="16">
        <v>914</v>
      </c>
      <c r="AR52" s="17">
        <v>79</v>
      </c>
      <c r="AS52" s="17">
        <v>61</v>
      </c>
      <c r="AT52" s="17">
        <v>85</v>
      </c>
      <c r="AU52" s="17">
        <v>71</v>
      </c>
      <c r="AV52" s="17">
        <v>296</v>
      </c>
      <c r="AW52" s="11" t="s">
        <v>65</v>
      </c>
      <c r="BA52" s="14" t="s">
        <v>32</v>
      </c>
      <c r="BB52" s="16">
        <f t="shared" si="2"/>
        <v>3</v>
      </c>
    </row>
    <row r="53" spans="1:54" ht="14.25" customHeight="1" thickBot="1">
      <c r="A53" s="13">
        <v>40554</v>
      </c>
      <c r="B53" s="14" t="s">
        <v>12</v>
      </c>
      <c r="C53" s="14" t="s">
        <v>9</v>
      </c>
      <c r="D53" s="16">
        <v>378</v>
      </c>
      <c r="E53" s="14" t="s">
        <v>63</v>
      </c>
      <c r="F53" s="14" t="s">
        <v>15</v>
      </c>
      <c r="G53" s="14" t="s">
        <v>35</v>
      </c>
      <c r="H53" s="16">
        <v>14</v>
      </c>
      <c r="I53" s="16">
        <v>378</v>
      </c>
      <c r="J53" s="16">
        <v>203</v>
      </c>
      <c r="K53" s="17">
        <v>81</v>
      </c>
      <c r="L53" s="17">
        <v>83</v>
      </c>
      <c r="M53" s="17">
        <v>67</v>
      </c>
      <c r="N53" s="17">
        <v>70</v>
      </c>
      <c r="O53" s="17">
        <v>301</v>
      </c>
      <c r="P53" s="11" t="s">
        <v>71</v>
      </c>
      <c r="Q53" s="11"/>
      <c r="R53" s="11"/>
      <c r="S53" s="11" t="s">
        <v>318</v>
      </c>
      <c r="AH53" s="13">
        <v>40548</v>
      </c>
      <c r="AI53" s="14" t="str">
        <f t="shared" si="0"/>
        <v>CARLOTA</v>
      </c>
      <c r="AJ53" s="14" t="s">
        <v>19</v>
      </c>
      <c r="AK53" s="15">
        <v>1380</v>
      </c>
      <c r="AL53" s="14" t="s">
        <v>63</v>
      </c>
      <c r="AM53" s="14" t="s">
        <v>15</v>
      </c>
      <c r="AN53" s="14" t="str">
        <f t="shared" si="1"/>
        <v>Ittw</v>
      </c>
      <c r="AO53" s="16">
        <v>60</v>
      </c>
      <c r="AP53" s="15">
        <v>1380</v>
      </c>
      <c r="AQ53" s="16">
        <v>660</v>
      </c>
      <c r="AR53" s="17">
        <v>62</v>
      </c>
      <c r="AS53" s="17">
        <v>71</v>
      </c>
      <c r="AT53" s="17">
        <v>72</v>
      </c>
      <c r="AU53" s="17">
        <v>80</v>
      </c>
      <c r="AV53" s="17">
        <v>285</v>
      </c>
      <c r="AW53" s="11" t="s">
        <v>71</v>
      </c>
      <c r="BA53" s="14" t="s">
        <v>33</v>
      </c>
      <c r="BB53" s="16">
        <f t="shared" si="2"/>
        <v>3</v>
      </c>
    </row>
    <row r="54" spans="1:54" ht="14.25" customHeight="1" thickBot="1">
      <c r="A54" s="13">
        <v>40599</v>
      </c>
      <c r="B54" s="14" t="s">
        <v>12</v>
      </c>
      <c r="C54" s="14" t="s">
        <v>9</v>
      </c>
      <c r="D54" s="16">
        <v>378</v>
      </c>
      <c r="E54" s="14" t="s">
        <v>63</v>
      </c>
      <c r="F54" s="14" t="s">
        <v>15</v>
      </c>
      <c r="G54" s="14" t="s">
        <v>35</v>
      </c>
      <c r="H54" s="16">
        <v>14</v>
      </c>
      <c r="I54" s="16">
        <v>378</v>
      </c>
      <c r="J54" s="16">
        <v>203</v>
      </c>
      <c r="K54" s="17">
        <v>60</v>
      </c>
      <c r="L54" s="17">
        <v>89</v>
      </c>
      <c r="M54" s="17">
        <v>77</v>
      </c>
      <c r="N54" s="17">
        <v>100</v>
      </c>
      <c r="O54" s="17">
        <v>326</v>
      </c>
      <c r="P54" s="11" t="s">
        <v>71</v>
      </c>
      <c r="Q54" s="11"/>
      <c r="R54" s="11"/>
      <c r="T54" s="35" t="s">
        <v>61</v>
      </c>
      <c r="AH54" s="13">
        <v>40578</v>
      </c>
      <c r="AI54" s="14" t="str">
        <f t="shared" si="0"/>
        <v>CARLOTA</v>
      </c>
      <c r="AJ54" s="14" t="s">
        <v>19</v>
      </c>
      <c r="AK54" s="15">
        <v>1380</v>
      </c>
      <c r="AL54" s="14" t="s">
        <v>63</v>
      </c>
      <c r="AM54" s="14" t="s">
        <v>15</v>
      </c>
      <c r="AN54" s="14" t="str">
        <f t="shared" si="1"/>
        <v>Ittw</v>
      </c>
      <c r="AO54" s="16">
        <v>60</v>
      </c>
      <c r="AP54" s="15">
        <v>1380</v>
      </c>
      <c r="AQ54" s="16">
        <v>660</v>
      </c>
      <c r="AR54" s="17">
        <v>76</v>
      </c>
      <c r="AS54" s="17">
        <v>86</v>
      </c>
      <c r="AT54" s="17">
        <v>75</v>
      </c>
      <c r="AU54" s="17">
        <v>75</v>
      </c>
      <c r="AV54" s="17">
        <v>312</v>
      </c>
      <c r="AW54" s="11" t="s">
        <v>65</v>
      </c>
      <c r="BA54" s="14" t="s">
        <v>33</v>
      </c>
      <c r="BB54" s="16">
        <f t="shared" si="2"/>
        <v>3</v>
      </c>
    </row>
    <row r="55" spans="1:54" ht="14.25" customHeight="1" thickBot="1">
      <c r="A55" s="13">
        <v>40564</v>
      </c>
      <c r="B55" s="14" t="s">
        <v>12</v>
      </c>
      <c r="C55" s="14" t="s">
        <v>19</v>
      </c>
      <c r="D55" s="15">
        <v>1512</v>
      </c>
      <c r="E55" s="14" t="s">
        <v>63</v>
      </c>
      <c r="F55" s="14" t="s">
        <v>21</v>
      </c>
      <c r="G55" s="14" t="s">
        <v>35</v>
      </c>
      <c r="H55" s="16">
        <v>56</v>
      </c>
      <c r="I55" s="15">
        <v>1512</v>
      </c>
      <c r="J55" s="16">
        <v>812</v>
      </c>
      <c r="K55" s="17">
        <v>95</v>
      </c>
      <c r="L55" s="17">
        <v>71</v>
      </c>
      <c r="M55" s="17">
        <v>77</v>
      </c>
      <c r="N55" s="17">
        <v>75</v>
      </c>
      <c r="O55" s="17">
        <v>318</v>
      </c>
      <c r="P55" s="11" t="s">
        <v>71</v>
      </c>
      <c r="Q55" s="11"/>
      <c r="R55" s="11"/>
      <c r="S55" s="35" t="s">
        <v>324</v>
      </c>
      <c r="T55" s="34" t="s">
        <v>65</v>
      </c>
      <c r="U55" s="34" t="s">
        <v>261</v>
      </c>
      <c r="AH55" s="13">
        <v>40554</v>
      </c>
      <c r="AI55" s="14" t="str">
        <f t="shared" si="0"/>
        <v>QUAD</v>
      </c>
      <c r="AJ55" s="14" t="s">
        <v>9</v>
      </c>
      <c r="AK55" s="16">
        <v>378</v>
      </c>
      <c r="AL55" s="14" t="s">
        <v>63</v>
      </c>
      <c r="AM55" s="14" t="s">
        <v>15</v>
      </c>
      <c r="AN55" s="14" t="str">
        <f t="shared" si="1"/>
        <v>Itw</v>
      </c>
      <c r="AO55" s="16">
        <v>14</v>
      </c>
      <c r="AP55" s="16">
        <v>378</v>
      </c>
      <c r="AQ55" s="16">
        <v>203</v>
      </c>
      <c r="AR55" s="17">
        <v>81</v>
      </c>
      <c r="AS55" s="17">
        <v>83</v>
      </c>
      <c r="AT55" s="17">
        <v>67</v>
      </c>
      <c r="AU55" s="17">
        <v>70</v>
      </c>
      <c r="AV55" s="17">
        <v>301</v>
      </c>
      <c r="AW55" s="11" t="s">
        <v>71</v>
      </c>
      <c r="BA55" s="14" t="s">
        <v>33</v>
      </c>
      <c r="BB55" s="16">
        <f t="shared" si="2"/>
        <v>3</v>
      </c>
    </row>
    <row r="56" spans="1:54" ht="14.25" customHeight="1" thickBot="1">
      <c r="A56" s="13">
        <v>40555</v>
      </c>
      <c r="B56" s="14" t="s">
        <v>20</v>
      </c>
      <c r="C56" s="14" t="s">
        <v>22</v>
      </c>
      <c r="D56" s="16">
        <v>399</v>
      </c>
      <c r="E56" s="14" t="s">
        <v>83</v>
      </c>
      <c r="F56" s="14" t="s">
        <v>21</v>
      </c>
      <c r="G56" s="14" t="s">
        <v>35</v>
      </c>
      <c r="H56" s="16">
        <v>19</v>
      </c>
      <c r="I56" s="16">
        <v>399</v>
      </c>
      <c r="J56" s="16">
        <v>176</v>
      </c>
      <c r="K56" s="17">
        <v>65</v>
      </c>
      <c r="L56" s="17">
        <v>71</v>
      </c>
      <c r="M56" s="17">
        <v>65</v>
      </c>
      <c r="N56" s="17">
        <v>80</v>
      </c>
      <c r="O56" s="17">
        <v>281</v>
      </c>
      <c r="P56" s="11" t="s">
        <v>65</v>
      </c>
      <c r="Q56" s="11"/>
      <c r="R56" s="11"/>
      <c r="S56" s="36" t="s">
        <v>66</v>
      </c>
      <c r="AH56" s="13">
        <v>40599</v>
      </c>
      <c r="AI56" s="14" t="str">
        <f t="shared" si="0"/>
        <v>QUAD</v>
      </c>
      <c r="AJ56" s="14" t="s">
        <v>9</v>
      </c>
      <c r="AK56" s="16">
        <v>378</v>
      </c>
      <c r="AL56" s="14" t="s">
        <v>63</v>
      </c>
      <c r="AM56" s="14" t="s">
        <v>15</v>
      </c>
      <c r="AN56" s="14" t="str">
        <f t="shared" si="1"/>
        <v>Itw</v>
      </c>
      <c r="AO56" s="16">
        <v>14</v>
      </c>
      <c r="AP56" s="16">
        <v>378</v>
      </c>
      <c r="AQ56" s="16">
        <v>203</v>
      </c>
      <c r="AR56" s="17">
        <v>60</v>
      </c>
      <c r="AS56" s="17">
        <v>89</v>
      </c>
      <c r="AT56" s="17">
        <v>77</v>
      </c>
      <c r="AU56" s="17">
        <v>100</v>
      </c>
      <c r="AV56" s="17">
        <v>326</v>
      </c>
      <c r="AW56" s="11" t="s">
        <v>71</v>
      </c>
      <c r="BA56" s="14" t="s">
        <v>33</v>
      </c>
      <c r="BB56" s="16">
        <f t="shared" si="2"/>
        <v>3</v>
      </c>
    </row>
    <row r="57" spans="1:54" ht="14.25" customHeight="1" thickBot="1">
      <c r="A57" s="13">
        <v>40557</v>
      </c>
      <c r="B57" s="14" t="s">
        <v>8</v>
      </c>
      <c r="C57" s="14" t="s">
        <v>9</v>
      </c>
      <c r="D57" s="16">
        <v>782</v>
      </c>
      <c r="E57" s="14" t="s">
        <v>63</v>
      </c>
      <c r="F57" s="14" t="s">
        <v>15</v>
      </c>
      <c r="G57" s="14" t="s">
        <v>36</v>
      </c>
      <c r="H57" s="16">
        <v>34</v>
      </c>
      <c r="I57" s="16">
        <v>782</v>
      </c>
      <c r="J57" s="16">
        <v>374</v>
      </c>
      <c r="K57" s="17">
        <v>85</v>
      </c>
      <c r="L57" s="17">
        <v>74</v>
      </c>
      <c r="M57" s="17">
        <v>92</v>
      </c>
      <c r="N57" s="17">
        <v>95</v>
      </c>
      <c r="O57" s="17">
        <v>346</v>
      </c>
      <c r="P57" s="11" t="s">
        <v>65</v>
      </c>
      <c r="Q57" s="11"/>
      <c r="R57" s="11"/>
      <c r="S57" s="36" t="s">
        <v>64</v>
      </c>
      <c r="AH57" s="13">
        <v>40564</v>
      </c>
      <c r="AI57" s="14" t="str">
        <f t="shared" si="0"/>
        <v>QUAD</v>
      </c>
      <c r="AJ57" s="14" t="s">
        <v>19</v>
      </c>
      <c r="AK57" s="15">
        <v>1512</v>
      </c>
      <c r="AL57" s="14" t="s">
        <v>63</v>
      </c>
      <c r="AM57" s="14" t="s">
        <v>21</v>
      </c>
      <c r="AN57" s="14" t="str">
        <f t="shared" si="1"/>
        <v>Itw</v>
      </c>
      <c r="AO57" s="16">
        <v>56</v>
      </c>
      <c r="AP57" s="15">
        <v>1512</v>
      </c>
      <c r="AQ57" s="16">
        <v>812</v>
      </c>
      <c r="AR57" s="17">
        <v>95</v>
      </c>
      <c r="AS57" s="17">
        <v>71</v>
      </c>
      <c r="AT57" s="17">
        <v>77</v>
      </c>
      <c r="AU57" s="17">
        <v>75</v>
      </c>
      <c r="AV57" s="17">
        <v>318</v>
      </c>
      <c r="AW57" s="11" t="s">
        <v>71</v>
      </c>
      <c r="BA57" s="14" t="s">
        <v>34</v>
      </c>
      <c r="BB57" s="16">
        <f t="shared" si="2"/>
        <v>4</v>
      </c>
    </row>
    <row r="58" spans="1:54" ht="14.25" customHeight="1" thickBot="1">
      <c r="A58" s="13">
        <v>40568</v>
      </c>
      <c r="B58" s="14" t="s">
        <v>14</v>
      </c>
      <c r="C58" s="14" t="s">
        <v>22</v>
      </c>
      <c r="D58" s="16">
        <v>399</v>
      </c>
      <c r="E58" s="14" t="s">
        <v>83</v>
      </c>
      <c r="F58" s="14" t="s">
        <v>15</v>
      </c>
      <c r="G58" s="14" t="s">
        <v>36</v>
      </c>
      <c r="H58" s="16">
        <v>21</v>
      </c>
      <c r="I58" s="16">
        <v>399</v>
      </c>
      <c r="J58" s="16">
        <v>168</v>
      </c>
      <c r="K58" s="17">
        <v>69</v>
      </c>
      <c r="L58" s="17">
        <v>64</v>
      </c>
      <c r="M58" s="17">
        <v>87</v>
      </c>
      <c r="N58" s="17">
        <v>88</v>
      </c>
      <c r="O58" s="17">
        <v>308</v>
      </c>
      <c r="P58" s="11" t="s">
        <v>65</v>
      </c>
      <c r="Q58" s="11"/>
      <c r="R58" s="11"/>
      <c r="S58" s="36" t="s">
        <v>18</v>
      </c>
      <c r="AH58" s="13">
        <v>40555</v>
      </c>
      <c r="AI58" s="14" t="str">
        <f t="shared" si="0"/>
        <v>SUNSET</v>
      </c>
      <c r="AJ58" s="14" t="s">
        <v>22</v>
      </c>
      <c r="AK58" s="16">
        <v>399</v>
      </c>
      <c r="AL58" s="14" t="s">
        <v>83</v>
      </c>
      <c r="AM58" s="14" t="s">
        <v>21</v>
      </c>
      <c r="AN58" s="14" t="str">
        <f t="shared" si="1"/>
        <v>Itw</v>
      </c>
      <c r="AO58" s="16">
        <v>19</v>
      </c>
      <c r="AP58" s="16">
        <v>399</v>
      </c>
      <c r="AQ58" s="16">
        <v>176</v>
      </c>
      <c r="AR58" s="17">
        <v>65</v>
      </c>
      <c r="AS58" s="17">
        <v>71</v>
      </c>
      <c r="AT58" s="17">
        <v>65</v>
      </c>
      <c r="AU58" s="17">
        <v>80</v>
      </c>
      <c r="AV58" s="17">
        <v>281</v>
      </c>
      <c r="AW58" s="11" t="s">
        <v>65</v>
      </c>
      <c r="BA58" s="14" t="s">
        <v>34</v>
      </c>
      <c r="BB58" s="16">
        <f t="shared" si="2"/>
        <v>4</v>
      </c>
    </row>
    <row r="59" spans="1:54" ht="14.25" customHeight="1" thickBot="1">
      <c r="A59" s="13">
        <v>40545</v>
      </c>
      <c r="B59" s="14" t="s">
        <v>16</v>
      </c>
      <c r="C59" s="14" t="s">
        <v>26</v>
      </c>
      <c r="D59" s="16">
        <v>528</v>
      </c>
      <c r="E59" s="14" t="s">
        <v>83</v>
      </c>
      <c r="F59" s="14" t="s">
        <v>21</v>
      </c>
      <c r="G59" s="14" t="s">
        <v>37</v>
      </c>
      <c r="H59" s="16">
        <v>24</v>
      </c>
      <c r="I59" s="16">
        <v>528</v>
      </c>
      <c r="J59" s="16">
        <v>240</v>
      </c>
      <c r="K59" s="17">
        <v>61</v>
      </c>
      <c r="L59" s="17">
        <v>83</v>
      </c>
      <c r="M59" s="17">
        <v>84</v>
      </c>
      <c r="N59" s="17">
        <v>82</v>
      </c>
      <c r="O59" s="17">
        <v>310</v>
      </c>
      <c r="P59" s="11" t="s">
        <v>71</v>
      </c>
      <c r="Q59" s="11"/>
      <c r="R59" s="11"/>
      <c r="S59" s="36" t="s">
        <v>23</v>
      </c>
      <c r="AH59" s="13">
        <v>40557</v>
      </c>
      <c r="AI59" s="14" t="str">
        <f t="shared" si="0"/>
        <v>CARLOTA</v>
      </c>
      <c r="AJ59" s="14" t="s">
        <v>9</v>
      </c>
      <c r="AK59" s="16">
        <v>782</v>
      </c>
      <c r="AL59" s="14" t="s">
        <v>63</v>
      </c>
      <c r="AM59" s="14" t="s">
        <v>15</v>
      </c>
      <c r="AN59" s="14" t="str">
        <f t="shared" si="1"/>
        <v>Jaq</v>
      </c>
      <c r="AO59" s="16">
        <v>34</v>
      </c>
      <c r="AP59" s="16">
        <v>782</v>
      </c>
      <c r="AQ59" s="16">
        <v>374</v>
      </c>
      <c r="AR59" s="17">
        <v>85</v>
      </c>
      <c r="AS59" s="17">
        <v>74</v>
      </c>
      <c r="AT59" s="17">
        <v>92</v>
      </c>
      <c r="AU59" s="17">
        <v>95</v>
      </c>
      <c r="AV59" s="17">
        <v>346</v>
      </c>
      <c r="AW59" s="11" t="s">
        <v>65</v>
      </c>
      <c r="BA59" s="14" t="s">
        <v>35</v>
      </c>
      <c r="BB59" s="16">
        <f t="shared" si="2"/>
        <v>3</v>
      </c>
    </row>
    <row r="60" spans="1:54" ht="14.25" customHeight="1" thickBot="1">
      <c r="A60" s="13">
        <v>40590</v>
      </c>
      <c r="B60" s="14" t="s">
        <v>16</v>
      </c>
      <c r="C60" s="14" t="s">
        <v>26</v>
      </c>
      <c r="D60" s="16">
        <v>528</v>
      </c>
      <c r="E60" s="14" t="s">
        <v>83</v>
      </c>
      <c r="F60" s="14" t="s">
        <v>21</v>
      </c>
      <c r="G60" s="14" t="s">
        <v>37</v>
      </c>
      <c r="H60" s="16">
        <v>24</v>
      </c>
      <c r="I60" s="16">
        <v>528</v>
      </c>
      <c r="J60" s="16">
        <v>240</v>
      </c>
      <c r="K60" s="17">
        <v>86</v>
      </c>
      <c r="L60" s="17">
        <v>100</v>
      </c>
      <c r="M60" s="17">
        <v>83</v>
      </c>
      <c r="N60" s="17">
        <v>73</v>
      </c>
      <c r="O60" s="17">
        <v>342</v>
      </c>
      <c r="P60" s="11" t="s">
        <v>71</v>
      </c>
      <c r="Q60" s="11"/>
      <c r="R60" s="11"/>
      <c r="S60" s="36" t="s">
        <v>25</v>
      </c>
      <c r="AH60" s="13">
        <v>40568</v>
      </c>
      <c r="AI60" s="14" t="str">
        <f t="shared" si="0"/>
        <v>SUNSHINE</v>
      </c>
      <c r="AJ60" s="14" t="s">
        <v>22</v>
      </c>
      <c r="AK60" s="16">
        <v>399</v>
      </c>
      <c r="AL60" s="14" t="s">
        <v>83</v>
      </c>
      <c r="AM60" s="14" t="s">
        <v>15</v>
      </c>
      <c r="AN60" s="14" t="str">
        <f t="shared" si="1"/>
        <v>Jaq</v>
      </c>
      <c r="AO60" s="16">
        <v>21</v>
      </c>
      <c r="AP60" s="16">
        <v>399</v>
      </c>
      <c r="AQ60" s="16">
        <v>168</v>
      </c>
      <c r="AR60" s="17">
        <v>69</v>
      </c>
      <c r="AS60" s="17">
        <v>64</v>
      </c>
      <c r="AT60" s="17">
        <v>87</v>
      </c>
      <c r="AU60" s="17">
        <v>88</v>
      </c>
      <c r="AV60" s="17">
        <v>308</v>
      </c>
      <c r="AW60" s="11" t="s">
        <v>65</v>
      </c>
      <c r="BA60" s="14" t="s">
        <v>35</v>
      </c>
      <c r="BB60" s="16">
        <f t="shared" si="2"/>
        <v>3</v>
      </c>
    </row>
    <row r="61" spans="1:54" ht="14.25" customHeight="1" thickBot="1">
      <c r="A61" s="13">
        <v>40565</v>
      </c>
      <c r="B61" s="14" t="s">
        <v>8</v>
      </c>
      <c r="C61" s="14" t="s">
        <v>26</v>
      </c>
      <c r="D61" s="16">
        <v>667</v>
      </c>
      <c r="E61" s="14" t="s">
        <v>83</v>
      </c>
      <c r="F61" s="14" t="s">
        <v>24</v>
      </c>
      <c r="G61" s="14" t="s">
        <v>37</v>
      </c>
      <c r="H61" s="16">
        <v>29</v>
      </c>
      <c r="I61" s="16">
        <v>667</v>
      </c>
      <c r="J61" s="16">
        <v>319</v>
      </c>
      <c r="K61" s="17">
        <v>85</v>
      </c>
      <c r="L61" s="17">
        <v>64</v>
      </c>
      <c r="M61" s="17">
        <v>62</v>
      </c>
      <c r="N61" s="17">
        <v>65</v>
      </c>
      <c r="O61" s="17">
        <v>276</v>
      </c>
      <c r="P61" s="11" t="s">
        <v>65</v>
      </c>
      <c r="Q61" s="11"/>
      <c r="R61" s="11"/>
      <c r="S61" s="36" t="s">
        <v>27</v>
      </c>
      <c r="AH61" s="13">
        <v>40545</v>
      </c>
      <c r="AI61" s="14" t="str">
        <f t="shared" si="0"/>
        <v>BELLEN</v>
      </c>
      <c r="AJ61" s="14" t="s">
        <v>26</v>
      </c>
      <c r="AK61" s="16">
        <v>528</v>
      </c>
      <c r="AL61" s="14" t="s">
        <v>83</v>
      </c>
      <c r="AM61" s="14" t="s">
        <v>21</v>
      </c>
      <c r="AN61" s="14" t="str">
        <f t="shared" si="1"/>
        <v>Kbtb</v>
      </c>
      <c r="AO61" s="16">
        <v>24</v>
      </c>
      <c r="AP61" s="16">
        <v>528</v>
      </c>
      <c r="AQ61" s="16">
        <v>240</v>
      </c>
      <c r="AR61" s="17">
        <v>61</v>
      </c>
      <c r="AS61" s="17">
        <v>83</v>
      </c>
      <c r="AT61" s="17">
        <v>84</v>
      </c>
      <c r="AU61" s="17">
        <v>82</v>
      </c>
      <c r="AV61" s="17">
        <v>310</v>
      </c>
      <c r="AW61" s="11" t="s">
        <v>71</v>
      </c>
      <c r="BA61" s="14" t="s">
        <v>35</v>
      </c>
      <c r="BB61" s="16">
        <f t="shared" si="2"/>
        <v>3</v>
      </c>
    </row>
    <row r="62" spans="1:54" ht="14.25" customHeight="1" thickBot="1">
      <c r="A62" s="13">
        <v>40571</v>
      </c>
      <c r="B62" s="14" t="s">
        <v>12</v>
      </c>
      <c r="C62" s="14" t="s">
        <v>26</v>
      </c>
      <c r="D62" s="15">
        <v>1512</v>
      </c>
      <c r="E62" s="14" t="s">
        <v>83</v>
      </c>
      <c r="F62" s="14" t="s">
        <v>21</v>
      </c>
      <c r="G62" s="14" t="s">
        <v>37</v>
      </c>
      <c r="H62" s="16">
        <v>56</v>
      </c>
      <c r="I62" s="15">
        <v>1512</v>
      </c>
      <c r="J62" s="16">
        <v>812</v>
      </c>
      <c r="K62" s="17">
        <v>80</v>
      </c>
      <c r="L62" s="17">
        <v>88</v>
      </c>
      <c r="M62" s="17">
        <v>93</v>
      </c>
      <c r="N62" s="17">
        <v>100</v>
      </c>
      <c r="O62" s="17">
        <v>361</v>
      </c>
      <c r="P62" s="11" t="s">
        <v>71</v>
      </c>
      <c r="Q62" s="11"/>
      <c r="R62" s="11"/>
      <c r="S62" s="36" t="s">
        <v>28</v>
      </c>
      <c r="AH62" s="13">
        <v>40590</v>
      </c>
      <c r="AI62" s="14" t="str">
        <f t="shared" si="0"/>
        <v>BELLEN</v>
      </c>
      <c r="AJ62" s="14" t="s">
        <v>26</v>
      </c>
      <c r="AK62" s="16">
        <v>528</v>
      </c>
      <c r="AL62" s="14" t="s">
        <v>83</v>
      </c>
      <c r="AM62" s="14" t="s">
        <v>21</v>
      </c>
      <c r="AN62" s="14" t="str">
        <f t="shared" si="1"/>
        <v>Kbtb</v>
      </c>
      <c r="AO62" s="16">
        <v>24</v>
      </c>
      <c r="AP62" s="16">
        <v>528</v>
      </c>
      <c r="AQ62" s="16">
        <v>240</v>
      </c>
      <c r="AR62" s="17">
        <v>86</v>
      </c>
      <c r="AS62" s="17">
        <v>100</v>
      </c>
      <c r="AT62" s="17">
        <v>83</v>
      </c>
      <c r="AU62" s="17">
        <v>73</v>
      </c>
      <c r="AV62" s="17">
        <v>342</v>
      </c>
      <c r="AW62" s="11" t="s">
        <v>71</v>
      </c>
      <c r="BA62" s="14" t="s">
        <v>35</v>
      </c>
      <c r="BB62" s="16">
        <f t="shared" si="2"/>
        <v>3</v>
      </c>
    </row>
    <row r="63" spans="1:54" ht="14.25" customHeight="1" thickBot="1">
      <c r="A63" s="13">
        <v>40616</v>
      </c>
      <c r="B63" s="14" t="s">
        <v>12</v>
      </c>
      <c r="C63" s="14" t="s">
        <v>26</v>
      </c>
      <c r="D63" s="15">
        <v>1512</v>
      </c>
      <c r="E63" s="14" t="s">
        <v>83</v>
      </c>
      <c r="F63" s="14" t="s">
        <v>21</v>
      </c>
      <c r="G63" s="14" t="s">
        <v>37</v>
      </c>
      <c r="H63" s="16">
        <v>56</v>
      </c>
      <c r="I63" s="15">
        <v>1512</v>
      </c>
      <c r="J63" s="16">
        <v>812</v>
      </c>
      <c r="K63" s="17">
        <v>91</v>
      </c>
      <c r="L63" s="17">
        <v>84</v>
      </c>
      <c r="M63" s="17">
        <v>93</v>
      </c>
      <c r="N63" s="17">
        <v>71</v>
      </c>
      <c r="O63" s="17">
        <v>339</v>
      </c>
      <c r="P63" s="11" t="s">
        <v>65</v>
      </c>
      <c r="Q63" s="11"/>
      <c r="R63" s="11"/>
      <c r="S63" s="36" t="s">
        <v>29</v>
      </c>
      <c r="AH63" s="13">
        <v>40565</v>
      </c>
      <c r="AI63" s="14" t="str">
        <f t="shared" si="0"/>
        <v>CARLOTA</v>
      </c>
      <c r="AJ63" s="14" t="s">
        <v>26</v>
      </c>
      <c r="AK63" s="16">
        <v>667</v>
      </c>
      <c r="AL63" s="14" t="s">
        <v>83</v>
      </c>
      <c r="AM63" s="14" t="s">
        <v>24</v>
      </c>
      <c r="AN63" s="14" t="str">
        <f t="shared" si="1"/>
        <v>Kbtb</v>
      </c>
      <c r="AO63" s="16">
        <v>29</v>
      </c>
      <c r="AP63" s="16">
        <v>667</v>
      </c>
      <c r="AQ63" s="16">
        <v>319</v>
      </c>
      <c r="AR63" s="17">
        <v>85</v>
      </c>
      <c r="AS63" s="17">
        <v>64</v>
      </c>
      <c r="AT63" s="17">
        <v>62</v>
      </c>
      <c r="AU63" s="17">
        <v>65</v>
      </c>
      <c r="AV63" s="17">
        <v>276</v>
      </c>
      <c r="AW63" s="11" t="s">
        <v>65</v>
      </c>
      <c r="BA63" s="14" t="s">
        <v>36</v>
      </c>
      <c r="BB63" s="16">
        <f t="shared" si="2"/>
        <v>3</v>
      </c>
    </row>
    <row r="64" spans="1:54" ht="14.25" customHeight="1" thickBot="1">
      <c r="A64" s="13">
        <v>40553</v>
      </c>
      <c r="B64" s="14" t="s">
        <v>12</v>
      </c>
      <c r="C64" s="14" t="s">
        <v>19</v>
      </c>
      <c r="D64" s="15">
        <v>1755</v>
      </c>
      <c r="E64" s="14" t="s">
        <v>63</v>
      </c>
      <c r="F64" s="14" t="s">
        <v>24</v>
      </c>
      <c r="G64" s="14" t="s">
        <v>37</v>
      </c>
      <c r="H64" s="16">
        <v>65</v>
      </c>
      <c r="I64" s="15">
        <v>1755</v>
      </c>
      <c r="J64" s="16">
        <v>943</v>
      </c>
      <c r="K64" s="17">
        <v>66</v>
      </c>
      <c r="L64" s="17">
        <v>82</v>
      </c>
      <c r="M64" s="17">
        <v>89</v>
      </c>
      <c r="N64" s="17">
        <v>64</v>
      </c>
      <c r="O64" s="17">
        <v>301</v>
      </c>
      <c r="P64" s="11" t="s">
        <v>65</v>
      </c>
      <c r="Q64" s="11"/>
      <c r="R64" s="11"/>
      <c r="S64" s="36" t="s">
        <v>30</v>
      </c>
      <c r="AH64" s="13">
        <v>40571</v>
      </c>
      <c r="AI64" s="14" t="str">
        <f t="shared" si="0"/>
        <v>QUAD</v>
      </c>
      <c r="AJ64" s="14" t="s">
        <v>26</v>
      </c>
      <c r="AK64" s="15">
        <v>1512</v>
      </c>
      <c r="AL64" s="14" t="s">
        <v>83</v>
      </c>
      <c r="AM64" s="14" t="s">
        <v>21</v>
      </c>
      <c r="AN64" s="14" t="str">
        <f t="shared" si="1"/>
        <v>Kbtb</v>
      </c>
      <c r="AO64" s="16">
        <v>56</v>
      </c>
      <c r="AP64" s="15">
        <v>1512</v>
      </c>
      <c r="AQ64" s="16">
        <v>812</v>
      </c>
      <c r="AR64" s="17">
        <v>80</v>
      </c>
      <c r="AS64" s="17">
        <v>88</v>
      </c>
      <c r="AT64" s="17">
        <v>93</v>
      </c>
      <c r="AU64" s="17">
        <v>100</v>
      </c>
      <c r="AV64" s="17">
        <v>361</v>
      </c>
      <c r="AW64" s="11" t="s">
        <v>71</v>
      </c>
      <c r="BA64" s="14" t="s">
        <v>36</v>
      </c>
      <c r="BB64" s="16">
        <f t="shared" si="2"/>
        <v>3</v>
      </c>
    </row>
    <row r="65" spans="1:54" ht="14.25" customHeight="1" thickBot="1">
      <c r="A65" s="13">
        <v>40569</v>
      </c>
      <c r="B65" s="14" t="s">
        <v>16</v>
      </c>
      <c r="C65" s="14" t="s">
        <v>9</v>
      </c>
      <c r="D65" s="16">
        <v>374</v>
      </c>
      <c r="E65" s="14" t="s">
        <v>63</v>
      </c>
      <c r="F65" s="14" t="s">
        <v>17</v>
      </c>
      <c r="G65" s="14" t="s">
        <v>38</v>
      </c>
      <c r="H65" s="16">
        <v>17</v>
      </c>
      <c r="I65" s="16">
        <v>374</v>
      </c>
      <c r="J65" s="16">
        <v>170</v>
      </c>
      <c r="K65" s="17">
        <v>82</v>
      </c>
      <c r="L65" s="17">
        <v>71</v>
      </c>
      <c r="M65" s="17">
        <v>89</v>
      </c>
      <c r="N65" s="17">
        <v>69</v>
      </c>
      <c r="O65" s="17">
        <v>311</v>
      </c>
      <c r="P65" s="11" t="s">
        <v>65</v>
      </c>
      <c r="Q65" s="11"/>
      <c r="R65" s="11"/>
      <c r="S65" s="36" t="s">
        <v>31</v>
      </c>
      <c r="AH65" s="13">
        <v>40616</v>
      </c>
      <c r="AI65" s="14" t="str">
        <f t="shared" si="0"/>
        <v>QUAD</v>
      </c>
      <c r="AJ65" s="14" t="s">
        <v>26</v>
      </c>
      <c r="AK65" s="15">
        <v>1512</v>
      </c>
      <c r="AL65" s="14" t="s">
        <v>83</v>
      </c>
      <c r="AM65" s="14" t="s">
        <v>21</v>
      </c>
      <c r="AN65" s="14" t="str">
        <f t="shared" si="1"/>
        <v>Kbtb</v>
      </c>
      <c r="AO65" s="16">
        <v>56</v>
      </c>
      <c r="AP65" s="15">
        <v>1512</v>
      </c>
      <c r="AQ65" s="16">
        <v>812</v>
      </c>
      <c r="AR65" s="17">
        <v>91</v>
      </c>
      <c r="AS65" s="17">
        <v>84</v>
      </c>
      <c r="AT65" s="17">
        <v>93</v>
      </c>
      <c r="AU65" s="17">
        <v>71</v>
      </c>
      <c r="AV65" s="17">
        <v>339</v>
      </c>
      <c r="AW65" s="11" t="s">
        <v>65</v>
      </c>
      <c r="BA65" s="14" t="s">
        <v>37</v>
      </c>
      <c r="BB65" s="16">
        <f t="shared" si="2"/>
        <v>4</v>
      </c>
    </row>
    <row r="66" spans="1:54" ht="14.25" customHeight="1" thickBot="1">
      <c r="A66" s="13">
        <v>40549</v>
      </c>
      <c r="B66" s="14" t="s">
        <v>8</v>
      </c>
      <c r="C66" s="14" t="s">
        <v>19</v>
      </c>
      <c r="D66" s="16">
        <v>414</v>
      </c>
      <c r="E66" s="14" t="s">
        <v>63</v>
      </c>
      <c r="F66" s="14" t="s">
        <v>13</v>
      </c>
      <c r="G66" s="14" t="s">
        <v>38</v>
      </c>
      <c r="H66" s="16">
        <v>18</v>
      </c>
      <c r="I66" s="16">
        <v>414</v>
      </c>
      <c r="J66" s="16">
        <v>198</v>
      </c>
      <c r="K66" s="17">
        <v>75</v>
      </c>
      <c r="L66" s="17">
        <v>61</v>
      </c>
      <c r="M66" s="17">
        <v>71</v>
      </c>
      <c r="N66" s="17">
        <v>93</v>
      </c>
      <c r="O66" s="17">
        <v>300</v>
      </c>
      <c r="P66" s="11" t="s">
        <v>71</v>
      </c>
      <c r="Q66" s="11"/>
      <c r="R66" s="11"/>
      <c r="S66" s="36" t="s">
        <v>32</v>
      </c>
      <c r="AH66" s="13">
        <v>40553</v>
      </c>
      <c r="AI66" s="14" t="str">
        <f t="shared" si="0"/>
        <v>QUAD</v>
      </c>
      <c r="AJ66" s="14" t="s">
        <v>19</v>
      </c>
      <c r="AK66" s="15">
        <v>1755</v>
      </c>
      <c r="AL66" s="14" t="s">
        <v>63</v>
      </c>
      <c r="AM66" s="14" t="s">
        <v>24</v>
      </c>
      <c r="AN66" s="14" t="str">
        <f t="shared" si="1"/>
        <v>Kbtb</v>
      </c>
      <c r="AO66" s="16">
        <v>65</v>
      </c>
      <c r="AP66" s="15">
        <v>1755</v>
      </c>
      <c r="AQ66" s="16">
        <v>943</v>
      </c>
      <c r="AR66" s="17">
        <v>66</v>
      </c>
      <c r="AS66" s="17">
        <v>82</v>
      </c>
      <c r="AT66" s="17">
        <v>89</v>
      </c>
      <c r="AU66" s="17">
        <v>64</v>
      </c>
      <c r="AV66" s="17">
        <v>301</v>
      </c>
      <c r="AW66" s="11" t="s">
        <v>65</v>
      </c>
      <c r="BA66" s="14" t="s">
        <v>37</v>
      </c>
      <c r="BB66" s="16">
        <f t="shared" si="2"/>
        <v>4</v>
      </c>
    </row>
    <row r="67" spans="1:54" ht="14.25" customHeight="1" thickBot="1">
      <c r="A67" s="13">
        <v>40571</v>
      </c>
      <c r="B67" s="14" t="s">
        <v>8</v>
      </c>
      <c r="C67" s="14" t="s">
        <v>19</v>
      </c>
      <c r="D67" s="16">
        <v>345</v>
      </c>
      <c r="E67" s="14" t="s">
        <v>63</v>
      </c>
      <c r="F67" s="14" t="s">
        <v>24</v>
      </c>
      <c r="G67" s="14" t="s">
        <v>39</v>
      </c>
      <c r="H67" s="16">
        <v>15</v>
      </c>
      <c r="I67" s="16">
        <v>345</v>
      </c>
      <c r="J67" s="16">
        <v>165</v>
      </c>
      <c r="K67" s="17">
        <v>60</v>
      </c>
      <c r="L67" s="17">
        <v>72</v>
      </c>
      <c r="M67" s="17">
        <v>93</v>
      </c>
      <c r="N67" s="17">
        <v>67</v>
      </c>
      <c r="O67" s="17">
        <v>292</v>
      </c>
      <c r="P67" s="11" t="s">
        <v>71</v>
      </c>
      <c r="Q67" s="11"/>
      <c r="R67" s="11"/>
      <c r="S67" s="36" t="s">
        <v>33</v>
      </c>
      <c r="AH67" s="13">
        <v>40569</v>
      </c>
      <c r="AI67" s="14" t="str">
        <f t="shared" si="0"/>
        <v>BELLEN</v>
      </c>
      <c r="AJ67" s="14" t="s">
        <v>9</v>
      </c>
      <c r="AK67" s="16">
        <v>374</v>
      </c>
      <c r="AL67" s="14" t="s">
        <v>63</v>
      </c>
      <c r="AM67" s="14" t="s">
        <v>17</v>
      </c>
      <c r="AN67" s="14" t="str">
        <f t="shared" si="1"/>
        <v>Kpsa</v>
      </c>
      <c r="AO67" s="16">
        <v>17</v>
      </c>
      <c r="AP67" s="16">
        <v>374</v>
      </c>
      <c r="AQ67" s="16">
        <v>170</v>
      </c>
      <c r="AR67" s="17">
        <v>82</v>
      </c>
      <c r="AS67" s="17">
        <v>71</v>
      </c>
      <c r="AT67" s="17">
        <v>89</v>
      </c>
      <c r="AU67" s="17">
        <v>69</v>
      </c>
      <c r="AV67" s="17">
        <v>311</v>
      </c>
      <c r="AW67" s="11" t="s">
        <v>65</v>
      </c>
      <c r="BA67" s="14" t="s">
        <v>37</v>
      </c>
      <c r="BB67" s="16">
        <f t="shared" si="2"/>
        <v>4</v>
      </c>
    </row>
    <row r="68" spans="1:54" ht="14.25" customHeight="1" thickBot="1">
      <c r="A68" s="13">
        <v>40553</v>
      </c>
      <c r="B68" s="14" t="s">
        <v>20</v>
      </c>
      <c r="C68" s="14" t="s">
        <v>9</v>
      </c>
      <c r="D68" s="16">
        <v>357</v>
      </c>
      <c r="E68" s="14" t="s">
        <v>63</v>
      </c>
      <c r="F68" s="14" t="s">
        <v>24</v>
      </c>
      <c r="G68" s="14" t="s">
        <v>40</v>
      </c>
      <c r="H68" s="16">
        <v>17</v>
      </c>
      <c r="I68" s="16">
        <v>357</v>
      </c>
      <c r="J68" s="16">
        <v>157</v>
      </c>
      <c r="K68" s="17">
        <v>74</v>
      </c>
      <c r="L68" s="17">
        <v>79</v>
      </c>
      <c r="M68" s="17">
        <v>90</v>
      </c>
      <c r="N68" s="17">
        <v>71</v>
      </c>
      <c r="O68" s="17">
        <v>314</v>
      </c>
      <c r="P68" s="11" t="s">
        <v>65</v>
      </c>
      <c r="Q68" s="11"/>
      <c r="R68" s="11"/>
      <c r="S68" s="36" t="s">
        <v>34</v>
      </c>
      <c r="AH68" s="13">
        <v>40549</v>
      </c>
      <c r="AI68" s="14" t="str">
        <f t="shared" si="0"/>
        <v>CARLOTA</v>
      </c>
      <c r="AJ68" s="14" t="s">
        <v>19</v>
      </c>
      <c r="AK68" s="16">
        <v>414</v>
      </c>
      <c r="AL68" s="14" t="s">
        <v>63</v>
      </c>
      <c r="AM68" s="14" t="s">
        <v>13</v>
      </c>
      <c r="AN68" s="14" t="str">
        <f t="shared" si="1"/>
        <v>Kpsa</v>
      </c>
      <c r="AO68" s="16">
        <v>18</v>
      </c>
      <c r="AP68" s="16">
        <v>414</v>
      </c>
      <c r="AQ68" s="16">
        <v>198</v>
      </c>
      <c r="AR68" s="17">
        <v>75</v>
      </c>
      <c r="AS68" s="17">
        <v>61</v>
      </c>
      <c r="AT68" s="17">
        <v>71</v>
      </c>
      <c r="AU68" s="17">
        <v>93</v>
      </c>
      <c r="AV68" s="17">
        <v>300</v>
      </c>
      <c r="AW68" s="11" t="s">
        <v>71</v>
      </c>
      <c r="BA68" s="14" t="s">
        <v>37</v>
      </c>
      <c r="BB68" s="16">
        <f t="shared" si="2"/>
        <v>4</v>
      </c>
    </row>
    <row r="69" spans="1:54" ht="14.25" customHeight="1" thickBot="1">
      <c r="A69" s="13">
        <v>40553</v>
      </c>
      <c r="B69" s="14" t="s">
        <v>20</v>
      </c>
      <c r="C69" s="14" t="s">
        <v>26</v>
      </c>
      <c r="D69" s="16">
        <v>987</v>
      </c>
      <c r="E69" s="14" t="s">
        <v>83</v>
      </c>
      <c r="F69" s="14" t="s">
        <v>13</v>
      </c>
      <c r="G69" s="14" t="s">
        <v>40</v>
      </c>
      <c r="H69" s="16">
        <v>47</v>
      </c>
      <c r="I69" s="16">
        <v>987</v>
      </c>
      <c r="J69" s="16">
        <v>435</v>
      </c>
      <c r="K69" s="17">
        <v>94</v>
      </c>
      <c r="L69" s="17">
        <v>95</v>
      </c>
      <c r="M69" s="17">
        <v>95</v>
      </c>
      <c r="N69" s="17">
        <v>86</v>
      </c>
      <c r="O69" s="17">
        <v>370</v>
      </c>
      <c r="P69" s="11" t="s">
        <v>71</v>
      </c>
      <c r="Q69" s="11"/>
      <c r="R69" s="11"/>
      <c r="S69" s="36" t="s">
        <v>35</v>
      </c>
      <c r="AH69" s="13">
        <v>40571</v>
      </c>
      <c r="AI69" s="14" t="str">
        <f t="shared" ref="AI69:AI132" si="3">UPPER(B67)</f>
        <v>CARLOTA</v>
      </c>
      <c r="AJ69" s="14" t="s">
        <v>19</v>
      </c>
      <c r="AK69" s="16">
        <v>345</v>
      </c>
      <c r="AL69" s="14" t="s">
        <v>63</v>
      </c>
      <c r="AM69" s="14" t="s">
        <v>24</v>
      </c>
      <c r="AN69" s="14" t="str">
        <f t="shared" ref="AN69:AN132" si="4">PROPER(G67)</f>
        <v>Lop</v>
      </c>
      <c r="AO69" s="16">
        <v>15</v>
      </c>
      <c r="AP69" s="16">
        <v>345</v>
      </c>
      <c r="AQ69" s="16">
        <v>165</v>
      </c>
      <c r="AR69" s="17">
        <v>60</v>
      </c>
      <c r="AS69" s="17">
        <v>72</v>
      </c>
      <c r="AT69" s="17">
        <v>93</v>
      </c>
      <c r="AU69" s="17">
        <v>67</v>
      </c>
      <c r="AV69" s="17">
        <v>292</v>
      </c>
      <c r="AW69" s="11" t="s">
        <v>71</v>
      </c>
      <c r="BA69" s="14" t="s">
        <v>37</v>
      </c>
      <c r="BB69" s="16">
        <f t="shared" si="2"/>
        <v>4</v>
      </c>
    </row>
    <row r="70" spans="1:54" ht="14.25" customHeight="1" thickBot="1">
      <c r="A70" s="13">
        <v>40598</v>
      </c>
      <c r="B70" s="14" t="s">
        <v>20</v>
      </c>
      <c r="C70" s="14" t="s">
        <v>26</v>
      </c>
      <c r="D70" s="16">
        <v>987</v>
      </c>
      <c r="E70" s="14" t="s">
        <v>83</v>
      </c>
      <c r="F70" s="14" t="s">
        <v>13</v>
      </c>
      <c r="G70" s="14" t="s">
        <v>40</v>
      </c>
      <c r="H70" s="16">
        <v>47</v>
      </c>
      <c r="I70" s="16">
        <v>987</v>
      </c>
      <c r="J70" s="16">
        <v>435</v>
      </c>
      <c r="K70" s="17">
        <v>73</v>
      </c>
      <c r="L70" s="17">
        <v>78</v>
      </c>
      <c r="M70" s="17">
        <v>75</v>
      </c>
      <c r="N70" s="17">
        <v>93</v>
      </c>
      <c r="O70" s="17">
        <v>319</v>
      </c>
      <c r="P70" s="11" t="s">
        <v>65</v>
      </c>
      <c r="Q70" s="11"/>
      <c r="R70" s="11"/>
      <c r="S70" s="36" t="s">
        <v>36</v>
      </c>
      <c r="AH70" s="13">
        <v>40553</v>
      </c>
      <c r="AI70" s="14" t="str">
        <f t="shared" si="3"/>
        <v>SUNSET</v>
      </c>
      <c r="AJ70" s="14" t="s">
        <v>9</v>
      </c>
      <c r="AK70" s="16">
        <v>357</v>
      </c>
      <c r="AL70" s="14" t="s">
        <v>63</v>
      </c>
      <c r="AM70" s="14" t="s">
        <v>24</v>
      </c>
      <c r="AN70" s="14" t="str">
        <f t="shared" si="4"/>
        <v>Mbg</v>
      </c>
      <c r="AO70" s="16">
        <v>17</v>
      </c>
      <c r="AP70" s="16">
        <v>357</v>
      </c>
      <c r="AQ70" s="16">
        <v>157</v>
      </c>
      <c r="AR70" s="17">
        <v>74</v>
      </c>
      <c r="AS70" s="17">
        <v>79</v>
      </c>
      <c r="AT70" s="17">
        <v>90</v>
      </c>
      <c r="AU70" s="17">
        <v>71</v>
      </c>
      <c r="AV70" s="17">
        <v>314</v>
      </c>
      <c r="AW70" s="11" t="s">
        <v>65</v>
      </c>
      <c r="BA70" s="14" t="s">
        <v>37</v>
      </c>
      <c r="BB70" s="16">
        <f t="shared" si="2"/>
        <v>4</v>
      </c>
    </row>
    <row r="71" spans="1:54" ht="14.25" customHeight="1" thickBot="1">
      <c r="A71" s="13">
        <v>40571</v>
      </c>
      <c r="B71" s="14" t="s">
        <v>8</v>
      </c>
      <c r="C71" s="14" t="s">
        <v>26</v>
      </c>
      <c r="D71" s="15">
        <v>1058</v>
      </c>
      <c r="E71" s="14" t="s">
        <v>83</v>
      </c>
      <c r="F71" s="14" t="s">
        <v>15</v>
      </c>
      <c r="G71" s="14" t="s">
        <v>41</v>
      </c>
      <c r="H71" s="16">
        <v>46</v>
      </c>
      <c r="I71" s="15">
        <v>1058</v>
      </c>
      <c r="J71" s="16">
        <v>506</v>
      </c>
      <c r="K71" s="17">
        <v>91</v>
      </c>
      <c r="L71" s="17">
        <v>85</v>
      </c>
      <c r="M71" s="17">
        <v>75</v>
      </c>
      <c r="N71" s="17">
        <v>98</v>
      </c>
      <c r="O71" s="17">
        <v>349</v>
      </c>
      <c r="P71" s="11" t="s">
        <v>71</v>
      </c>
      <c r="Q71" s="11"/>
      <c r="R71" s="11"/>
      <c r="S71" s="36" t="s">
        <v>37</v>
      </c>
      <c r="AH71" s="13">
        <v>40553</v>
      </c>
      <c r="AI71" s="14" t="str">
        <f t="shared" si="3"/>
        <v>SUNSET</v>
      </c>
      <c r="AJ71" s="14" t="s">
        <v>26</v>
      </c>
      <c r="AK71" s="16">
        <v>987</v>
      </c>
      <c r="AL71" s="14" t="s">
        <v>83</v>
      </c>
      <c r="AM71" s="14" t="s">
        <v>13</v>
      </c>
      <c r="AN71" s="14" t="str">
        <f t="shared" si="4"/>
        <v>Mbg</v>
      </c>
      <c r="AO71" s="16">
        <v>47</v>
      </c>
      <c r="AP71" s="16">
        <v>987</v>
      </c>
      <c r="AQ71" s="16">
        <v>435</v>
      </c>
      <c r="AR71" s="17">
        <v>94</v>
      </c>
      <c r="AS71" s="17">
        <v>95</v>
      </c>
      <c r="AT71" s="17">
        <v>95</v>
      </c>
      <c r="AU71" s="17">
        <v>86</v>
      </c>
      <c r="AV71" s="17">
        <v>370</v>
      </c>
      <c r="AW71" s="11" t="s">
        <v>71</v>
      </c>
      <c r="BA71" s="14" t="s">
        <v>38</v>
      </c>
      <c r="BB71" s="16">
        <f t="shared" si="2"/>
        <v>4</v>
      </c>
    </row>
    <row r="72" spans="1:54" ht="14.25" customHeight="1" thickBot="1">
      <c r="A72" s="13">
        <v>40561</v>
      </c>
      <c r="B72" s="14" t="s">
        <v>20</v>
      </c>
      <c r="C72" s="14" t="s">
        <v>9</v>
      </c>
      <c r="D72" s="16">
        <v>252</v>
      </c>
      <c r="E72" s="14" t="s">
        <v>63</v>
      </c>
      <c r="F72" s="14" t="s">
        <v>21</v>
      </c>
      <c r="G72" s="14" t="s">
        <v>41</v>
      </c>
      <c r="H72" s="16">
        <v>12</v>
      </c>
      <c r="I72" s="16">
        <v>252</v>
      </c>
      <c r="J72" s="16">
        <v>111</v>
      </c>
      <c r="K72" s="17">
        <v>85</v>
      </c>
      <c r="L72" s="17">
        <v>86</v>
      </c>
      <c r="M72" s="17">
        <v>86</v>
      </c>
      <c r="N72" s="17">
        <v>78</v>
      </c>
      <c r="O72" s="17">
        <v>335</v>
      </c>
      <c r="P72" s="11" t="s">
        <v>71</v>
      </c>
      <c r="Q72" s="11"/>
      <c r="R72" s="11"/>
      <c r="S72" s="36" t="s">
        <v>38</v>
      </c>
      <c r="AH72" s="13">
        <v>40598</v>
      </c>
      <c r="AI72" s="14" t="str">
        <f t="shared" si="3"/>
        <v>SUNSET</v>
      </c>
      <c r="AJ72" s="14" t="s">
        <v>26</v>
      </c>
      <c r="AK72" s="16">
        <v>987</v>
      </c>
      <c r="AL72" s="14" t="s">
        <v>83</v>
      </c>
      <c r="AM72" s="14" t="s">
        <v>13</v>
      </c>
      <c r="AN72" s="14" t="str">
        <f t="shared" si="4"/>
        <v>Mbg</v>
      </c>
      <c r="AO72" s="16">
        <v>47</v>
      </c>
      <c r="AP72" s="16">
        <v>987</v>
      </c>
      <c r="AQ72" s="16">
        <v>435</v>
      </c>
      <c r="AR72" s="17">
        <v>73</v>
      </c>
      <c r="AS72" s="17">
        <v>78</v>
      </c>
      <c r="AT72" s="17">
        <v>75</v>
      </c>
      <c r="AU72" s="17">
        <v>93</v>
      </c>
      <c r="AV72" s="17">
        <v>319</v>
      </c>
      <c r="AW72" s="11" t="s">
        <v>65</v>
      </c>
      <c r="BA72" s="14" t="s">
        <v>38</v>
      </c>
      <c r="BB72" s="16">
        <f t="shared" si="2"/>
        <v>4</v>
      </c>
    </row>
    <row r="73" spans="1:54" ht="14.25" customHeight="1" thickBot="1">
      <c r="A73" s="13">
        <v>40560</v>
      </c>
      <c r="B73" s="14" t="s">
        <v>16</v>
      </c>
      <c r="C73" s="14" t="s">
        <v>22</v>
      </c>
      <c r="D73" s="16">
        <v>352</v>
      </c>
      <c r="E73" s="14" t="s">
        <v>83</v>
      </c>
      <c r="F73" s="14" t="s">
        <v>24</v>
      </c>
      <c r="G73" s="14" t="s">
        <v>42</v>
      </c>
      <c r="H73" s="16">
        <v>16</v>
      </c>
      <c r="I73" s="16">
        <v>352</v>
      </c>
      <c r="J73" s="16">
        <v>160</v>
      </c>
      <c r="K73" s="17">
        <v>79</v>
      </c>
      <c r="L73" s="17">
        <v>62</v>
      </c>
      <c r="M73" s="17">
        <v>99</v>
      </c>
      <c r="N73" s="17">
        <v>75</v>
      </c>
      <c r="O73" s="17">
        <v>315</v>
      </c>
      <c r="P73" s="11" t="s">
        <v>71</v>
      </c>
      <c r="Q73" s="11"/>
      <c r="R73" s="11"/>
      <c r="S73" s="36" t="s">
        <v>40</v>
      </c>
      <c r="AH73" s="13">
        <v>40571</v>
      </c>
      <c r="AI73" s="14" t="str">
        <f t="shared" si="3"/>
        <v>CARLOTA</v>
      </c>
      <c r="AJ73" s="14" t="s">
        <v>26</v>
      </c>
      <c r="AK73" s="15">
        <v>1058</v>
      </c>
      <c r="AL73" s="14" t="s">
        <v>83</v>
      </c>
      <c r="AM73" s="14" t="s">
        <v>15</v>
      </c>
      <c r="AN73" s="14" t="str">
        <f t="shared" si="4"/>
        <v>Mngd</v>
      </c>
      <c r="AO73" s="16">
        <v>46</v>
      </c>
      <c r="AP73" s="15">
        <v>1058</v>
      </c>
      <c r="AQ73" s="16">
        <v>506</v>
      </c>
      <c r="AR73" s="17">
        <v>91</v>
      </c>
      <c r="AS73" s="17">
        <v>85</v>
      </c>
      <c r="AT73" s="17">
        <v>75</v>
      </c>
      <c r="AU73" s="17">
        <v>98</v>
      </c>
      <c r="AV73" s="17">
        <v>349</v>
      </c>
      <c r="AW73" s="11" t="s">
        <v>71</v>
      </c>
      <c r="BA73" s="14" t="s">
        <v>39</v>
      </c>
      <c r="BB73" s="16">
        <f t="shared" ref="BB73:BB136" si="5">LEN(BA73)</f>
        <v>3</v>
      </c>
    </row>
    <row r="74" spans="1:54" ht="14.25" customHeight="1" thickBot="1">
      <c r="A74" s="13">
        <v>40560</v>
      </c>
      <c r="B74" s="14" t="s">
        <v>8</v>
      </c>
      <c r="C74" s="14" t="s">
        <v>9</v>
      </c>
      <c r="D74" s="16">
        <v>897</v>
      </c>
      <c r="E74" s="14" t="s">
        <v>63</v>
      </c>
      <c r="F74" s="14" t="s">
        <v>13</v>
      </c>
      <c r="G74" s="14" t="s">
        <v>42</v>
      </c>
      <c r="H74" s="16">
        <v>39</v>
      </c>
      <c r="I74" s="16">
        <v>897</v>
      </c>
      <c r="J74" s="16">
        <v>429</v>
      </c>
      <c r="K74" s="17">
        <v>94</v>
      </c>
      <c r="L74" s="17">
        <v>94</v>
      </c>
      <c r="M74" s="17">
        <v>89</v>
      </c>
      <c r="N74" s="17">
        <v>68</v>
      </c>
      <c r="O74" s="17">
        <v>345</v>
      </c>
      <c r="P74" s="11" t="s">
        <v>65</v>
      </c>
      <c r="Q74" s="11"/>
      <c r="R74" s="11"/>
      <c r="S74" s="36" t="s">
        <v>42</v>
      </c>
      <c r="AH74" s="13">
        <v>40561</v>
      </c>
      <c r="AI74" s="14" t="str">
        <f t="shared" si="3"/>
        <v>SUNSET</v>
      </c>
      <c r="AJ74" s="14" t="s">
        <v>9</v>
      </c>
      <c r="AK74" s="16">
        <v>252</v>
      </c>
      <c r="AL74" s="14" t="s">
        <v>63</v>
      </c>
      <c r="AM74" s="14" t="s">
        <v>21</v>
      </c>
      <c r="AN74" s="14" t="str">
        <f t="shared" si="4"/>
        <v>Mngd</v>
      </c>
      <c r="AO74" s="16">
        <v>12</v>
      </c>
      <c r="AP74" s="16">
        <v>252</v>
      </c>
      <c r="AQ74" s="16">
        <v>111</v>
      </c>
      <c r="AR74" s="17">
        <v>85</v>
      </c>
      <c r="AS74" s="17">
        <v>86</v>
      </c>
      <c r="AT74" s="17">
        <v>86</v>
      </c>
      <c r="AU74" s="17">
        <v>78</v>
      </c>
      <c r="AV74" s="17">
        <v>335</v>
      </c>
      <c r="AW74" s="11" t="s">
        <v>71</v>
      </c>
      <c r="BA74" s="14" t="s">
        <v>40</v>
      </c>
      <c r="BB74" s="16">
        <f t="shared" si="5"/>
        <v>3</v>
      </c>
    </row>
    <row r="75" spans="1:54" ht="14.25" customHeight="1" thickBot="1">
      <c r="A75" s="13">
        <v>40605</v>
      </c>
      <c r="B75" s="14" t="s">
        <v>8</v>
      </c>
      <c r="C75" s="14" t="s">
        <v>9</v>
      </c>
      <c r="D75" s="16">
        <v>897</v>
      </c>
      <c r="E75" s="14" t="s">
        <v>63</v>
      </c>
      <c r="F75" s="14" t="s">
        <v>13</v>
      </c>
      <c r="G75" s="14" t="s">
        <v>42</v>
      </c>
      <c r="H75" s="16">
        <v>39</v>
      </c>
      <c r="I75" s="16">
        <v>897</v>
      </c>
      <c r="J75" s="16">
        <v>429</v>
      </c>
      <c r="K75" s="17">
        <v>72</v>
      </c>
      <c r="L75" s="17">
        <v>74</v>
      </c>
      <c r="M75" s="17">
        <v>77</v>
      </c>
      <c r="N75" s="17">
        <v>70</v>
      </c>
      <c r="O75" s="17">
        <v>293</v>
      </c>
      <c r="P75" s="11" t="s">
        <v>65</v>
      </c>
      <c r="Q75" s="11"/>
      <c r="R75" s="11"/>
      <c r="S75" s="36" t="s">
        <v>43</v>
      </c>
      <c r="AH75" s="13">
        <v>40560</v>
      </c>
      <c r="AI75" s="14" t="str">
        <f t="shared" si="3"/>
        <v>BELLEN</v>
      </c>
      <c r="AJ75" s="14" t="s">
        <v>22</v>
      </c>
      <c r="AK75" s="16">
        <v>352</v>
      </c>
      <c r="AL75" s="14" t="s">
        <v>83</v>
      </c>
      <c r="AM75" s="14" t="s">
        <v>24</v>
      </c>
      <c r="AN75" s="14" t="str">
        <f t="shared" si="4"/>
        <v>Pcc</v>
      </c>
      <c r="AO75" s="16">
        <v>16</v>
      </c>
      <c r="AP75" s="16">
        <v>352</v>
      </c>
      <c r="AQ75" s="16">
        <v>160</v>
      </c>
      <c r="AR75" s="17">
        <v>79</v>
      </c>
      <c r="AS75" s="17">
        <v>62</v>
      </c>
      <c r="AT75" s="17">
        <v>99</v>
      </c>
      <c r="AU75" s="17">
        <v>75</v>
      </c>
      <c r="AV75" s="17">
        <v>315</v>
      </c>
      <c r="AW75" s="11" t="s">
        <v>71</v>
      </c>
      <c r="BA75" s="14" t="s">
        <v>40</v>
      </c>
      <c r="BB75" s="16">
        <f t="shared" si="5"/>
        <v>3</v>
      </c>
    </row>
    <row r="76" spans="1:54" ht="14.25" customHeight="1" thickBot="1">
      <c r="A76" s="13">
        <v>40566</v>
      </c>
      <c r="B76" s="14" t="s">
        <v>12</v>
      </c>
      <c r="C76" s="14" t="s">
        <v>9</v>
      </c>
      <c r="D76" s="15">
        <v>1188</v>
      </c>
      <c r="E76" s="14" t="s">
        <v>63</v>
      </c>
      <c r="F76" s="14" t="s">
        <v>15</v>
      </c>
      <c r="G76" s="14" t="s">
        <v>42</v>
      </c>
      <c r="H76" s="16">
        <v>44</v>
      </c>
      <c r="I76" s="15">
        <v>1188</v>
      </c>
      <c r="J76" s="16">
        <v>638</v>
      </c>
      <c r="K76" s="17">
        <v>72</v>
      </c>
      <c r="L76" s="17">
        <v>99</v>
      </c>
      <c r="M76" s="17">
        <v>97</v>
      </c>
      <c r="N76" s="17">
        <v>90</v>
      </c>
      <c r="O76" s="17">
        <v>358</v>
      </c>
      <c r="P76" s="11" t="s">
        <v>65</v>
      </c>
      <c r="Q76" s="11"/>
      <c r="R76" s="11"/>
      <c r="S76" s="36" t="s">
        <v>44</v>
      </c>
      <c r="AH76" s="13">
        <v>40560</v>
      </c>
      <c r="AI76" s="14" t="str">
        <f t="shared" si="3"/>
        <v>CARLOTA</v>
      </c>
      <c r="AJ76" s="14" t="s">
        <v>9</v>
      </c>
      <c r="AK76" s="16">
        <v>897</v>
      </c>
      <c r="AL76" s="14" t="s">
        <v>63</v>
      </c>
      <c r="AM76" s="14" t="s">
        <v>13</v>
      </c>
      <c r="AN76" s="14" t="str">
        <f t="shared" si="4"/>
        <v>Pcc</v>
      </c>
      <c r="AO76" s="16">
        <v>39</v>
      </c>
      <c r="AP76" s="16">
        <v>897</v>
      </c>
      <c r="AQ76" s="16">
        <v>429</v>
      </c>
      <c r="AR76" s="17">
        <v>94</v>
      </c>
      <c r="AS76" s="17">
        <v>94</v>
      </c>
      <c r="AT76" s="17">
        <v>89</v>
      </c>
      <c r="AU76" s="17">
        <v>68</v>
      </c>
      <c r="AV76" s="17">
        <v>345</v>
      </c>
      <c r="AW76" s="11" t="s">
        <v>65</v>
      </c>
      <c r="BA76" s="14" t="s">
        <v>40</v>
      </c>
      <c r="BB76" s="16">
        <f t="shared" si="5"/>
        <v>3</v>
      </c>
    </row>
    <row r="77" spans="1:54" ht="14.25" customHeight="1" thickBot="1">
      <c r="A77" s="13">
        <v>40560</v>
      </c>
      <c r="B77" s="14" t="s">
        <v>12</v>
      </c>
      <c r="C77" s="14" t="s">
        <v>19</v>
      </c>
      <c r="D77" s="16">
        <v>270</v>
      </c>
      <c r="E77" s="14" t="s">
        <v>63</v>
      </c>
      <c r="F77" s="14" t="s">
        <v>17</v>
      </c>
      <c r="G77" s="14" t="s">
        <v>42</v>
      </c>
      <c r="H77" s="16">
        <v>10</v>
      </c>
      <c r="I77" s="16">
        <v>270</v>
      </c>
      <c r="J77" s="16">
        <v>145</v>
      </c>
      <c r="K77" s="17">
        <v>84</v>
      </c>
      <c r="L77" s="17">
        <v>79</v>
      </c>
      <c r="M77" s="17">
        <v>76</v>
      </c>
      <c r="N77" s="17">
        <v>86</v>
      </c>
      <c r="O77" s="17">
        <v>325</v>
      </c>
      <c r="P77" s="11" t="s">
        <v>71</v>
      </c>
      <c r="Q77" s="11"/>
      <c r="R77" s="11"/>
      <c r="S77" s="36" t="s">
        <v>45</v>
      </c>
      <c r="AH77" s="13">
        <v>40605</v>
      </c>
      <c r="AI77" s="14" t="str">
        <f t="shared" si="3"/>
        <v>CARLOTA</v>
      </c>
      <c r="AJ77" s="14" t="s">
        <v>9</v>
      </c>
      <c r="AK77" s="16">
        <v>897</v>
      </c>
      <c r="AL77" s="14" t="s">
        <v>63</v>
      </c>
      <c r="AM77" s="14" t="s">
        <v>13</v>
      </c>
      <c r="AN77" s="14" t="str">
        <f t="shared" si="4"/>
        <v>Pcc</v>
      </c>
      <c r="AO77" s="16">
        <v>39</v>
      </c>
      <c r="AP77" s="16">
        <v>897</v>
      </c>
      <c r="AQ77" s="16">
        <v>429</v>
      </c>
      <c r="AR77" s="17">
        <v>72</v>
      </c>
      <c r="AS77" s="17">
        <v>74</v>
      </c>
      <c r="AT77" s="17">
        <v>77</v>
      </c>
      <c r="AU77" s="17">
        <v>70</v>
      </c>
      <c r="AV77" s="17">
        <v>293</v>
      </c>
      <c r="AW77" s="11" t="s">
        <v>65</v>
      </c>
      <c r="BA77" s="14" t="s">
        <v>41</v>
      </c>
      <c r="BB77" s="16">
        <f t="shared" si="5"/>
        <v>4</v>
      </c>
    </row>
    <row r="78" spans="1:54" ht="14.25" customHeight="1" thickBot="1">
      <c r="A78" s="13">
        <v>40605</v>
      </c>
      <c r="B78" s="14" t="s">
        <v>12</v>
      </c>
      <c r="C78" s="14" t="s">
        <v>19</v>
      </c>
      <c r="D78" s="16">
        <v>270</v>
      </c>
      <c r="E78" s="14" t="s">
        <v>63</v>
      </c>
      <c r="F78" s="14" t="s">
        <v>17</v>
      </c>
      <c r="G78" s="14" t="s">
        <v>42</v>
      </c>
      <c r="H78" s="16">
        <v>10</v>
      </c>
      <c r="I78" s="16">
        <v>270</v>
      </c>
      <c r="J78" s="16">
        <v>145</v>
      </c>
      <c r="K78" s="17">
        <v>78</v>
      </c>
      <c r="L78" s="17">
        <v>72</v>
      </c>
      <c r="M78" s="17">
        <v>95</v>
      </c>
      <c r="N78" s="17">
        <v>80</v>
      </c>
      <c r="O78" s="17">
        <v>325</v>
      </c>
      <c r="P78" s="11" t="s">
        <v>71</v>
      </c>
      <c r="Q78" s="11"/>
      <c r="R78" s="11"/>
      <c r="S78" s="36" t="s">
        <v>68</v>
      </c>
      <c r="AH78" s="13">
        <v>40566</v>
      </c>
      <c r="AI78" s="14" t="str">
        <f t="shared" si="3"/>
        <v>QUAD</v>
      </c>
      <c r="AJ78" s="14" t="s">
        <v>9</v>
      </c>
      <c r="AK78" s="15">
        <v>1188</v>
      </c>
      <c r="AL78" s="14" t="s">
        <v>63</v>
      </c>
      <c r="AM78" s="14" t="s">
        <v>15</v>
      </c>
      <c r="AN78" s="14" t="str">
        <f t="shared" si="4"/>
        <v>Pcc</v>
      </c>
      <c r="AO78" s="16">
        <v>44</v>
      </c>
      <c r="AP78" s="15">
        <v>1188</v>
      </c>
      <c r="AQ78" s="16">
        <v>638</v>
      </c>
      <c r="AR78" s="17">
        <v>72</v>
      </c>
      <c r="AS78" s="17">
        <v>99</v>
      </c>
      <c r="AT78" s="17">
        <v>97</v>
      </c>
      <c r="AU78" s="17">
        <v>90</v>
      </c>
      <c r="AV78" s="17">
        <v>358</v>
      </c>
      <c r="AW78" s="11" t="s">
        <v>65</v>
      </c>
      <c r="BA78" s="14" t="s">
        <v>41</v>
      </c>
      <c r="BB78" s="16">
        <f t="shared" si="5"/>
        <v>4</v>
      </c>
    </row>
    <row r="79" spans="1:54" ht="14.25" customHeight="1" thickBot="1">
      <c r="A79" s="13">
        <v>40549</v>
      </c>
      <c r="B79" s="14" t="s">
        <v>12</v>
      </c>
      <c r="C79" s="14" t="s">
        <v>19</v>
      </c>
      <c r="D79" s="15">
        <v>1728</v>
      </c>
      <c r="E79" s="14" t="s">
        <v>63</v>
      </c>
      <c r="F79" s="14" t="s">
        <v>13</v>
      </c>
      <c r="G79" s="14" t="s">
        <v>42</v>
      </c>
      <c r="H79" s="16">
        <v>64</v>
      </c>
      <c r="I79" s="15">
        <v>1728</v>
      </c>
      <c r="J79" s="16">
        <v>928</v>
      </c>
      <c r="K79" s="17">
        <v>97</v>
      </c>
      <c r="L79" s="17">
        <v>62</v>
      </c>
      <c r="M79" s="17">
        <v>71</v>
      </c>
      <c r="N79" s="17">
        <v>85</v>
      </c>
      <c r="O79" s="17">
        <v>315</v>
      </c>
      <c r="P79" s="11" t="s">
        <v>65</v>
      </c>
      <c r="Q79" s="11"/>
      <c r="R79" s="11"/>
      <c r="S79" s="36" t="s">
        <v>77</v>
      </c>
      <c r="AH79" s="13">
        <v>40560</v>
      </c>
      <c r="AI79" s="14" t="str">
        <f t="shared" si="3"/>
        <v>QUAD</v>
      </c>
      <c r="AJ79" s="14" t="s">
        <v>19</v>
      </c>
      <c r="AK79" s="16">
        <v>270</v>
      </c>
      <c r="AL79" s="14" t="s">
        <v>63</v>
      </c>
      <c r="AM79" s="14" t="s">
        <v>17</v>
      </c>
      <c r="AN79" s="14" t="str">
        <f t="shared" si="4"/>
        <v>Pcc</v>
      </c>
      <c r="AO79" s="16">
        <v>10</v>
      </c>
      <c r="AP79" s="16">
        <v>270</v>
      </c>
      <c r="AQ79" s="16">
        <v>145</v>
      </c>
      <c r="AR79" s="17">
        <v>84</v>
      </c>
      <c r="AS79" s="17">
        <v>79</v>
      </c>
      <c r="AT79" s="17">
        <v>76</v>
      </c>
      <c r="AU79" s="17">
        <v>86</v>
      </c>
      <c r="AV79" s="17">
        <v>325</v>
      </c>
      <c r="AW79" s="11" t="s">
        <v>71</v>
      </c>
      <c r="BA79" s="14" t="s">
        <v>42</v>
      </c>
      <c r="BB79" s="16">
        <f t="shared" si="5"/>
        <v>3</v>
      </c>
    </row>
    <row r="80" spans="1:54" ht="14.25" customHeight="1" thickBot="1">
      <c r="A80" s="13">
        <v>40550</v>
      </c>
      <c r="B80" s="14" t="s">
        <v>20</v>
      </c>
      <c r="C80" s="14" t="s">
        <v>22</v>
      </c>
      <c r="D80" s="16">
        <v>462</v>
      </c>
      <c r="E80" s="14" t="s">
        <v>83</v>
      </c>
      <c r="F80" s="14" t="s">
        <v>13</v>
      </c>
      <c r="G80" s="14" t="s">
        <v>42</v>
      </c>
      <c r="H80" s="16">
        <v>22</v>
      </c>
      <c r="I80" s="16">
        <v>462</v>
      </c>
      <c r="J80" s="16">
        <v>204</v>
      </c>
      <c r="K80" s="17">
        <v>83</v>
      </c>
      <c r="L80" s="17">
        <v>61</v>
      </c>
      <c r="M80" s="17">
        <v>88</v>
      </c>
      <c r="N80" s="17">
        <v>60</v>
      </c>
      <c r="O80" s="17">
        <v>292</v>
      </c>
      <c r="P80" s="11" t="s">
        <v>71</v>
      </c>
      <c r="Q80" s="11"/>
      <c r="R80" s="11"/>
      <c r="S80" s="36" t="s">
        <v>46</v>
      </c>
      <c r="AH80" s="13">
        <v>40605</v>
      </c>
      <c r="AI80" s="14" t="str">
        <f t="shared" si="3"/>
        <v>QUAD</v>
      </c>
      <c r="AJ80" s="14" t="s">
        <v>19</v>
      </c>
      <c r="AK80" s="16">
        <v>270</v>
      </c>
      <c r="AL80" s="14" t="s">
        <v>63</v>
      </c>
      <c r="AM80" s="14" t="s">
        <v>17</v>
      </c>
      <c r="AN80" s="14" t="str">
        <f t="shared" si="4"/>
        <v>Pcc</v>
      </c>
      <c r="AO80" s="16">
        <v>10</v>
      </c>
      <c r="AP80" s="16">
        <v>270</v>
      </c>
      <c r="AQ80" s="16">
        <v>145</v>
      </c>
      <c r="AR80" s="17">
        <v>78</v>
      </c>
      <c r="AS80" s="17">
        <v>72</v>
      </c>
      <c r="AT80" s="17">
        <v>95</v>
      </c>
      <c r="AU80" s="17">
        <v>80</v>
      </c>
      <c r="AV80" s="17">
        <v>325</v>
      </c>
      <c r="AW80" s="11" t="s">
        <v>71</v>
      </c>
      <c r="BA80" s="14" t="s">
        <v>42</v>
      </c>
      <c r="BB80" s="16">
        <f t="shared" si="5"/>
        <v>3</v>
      </c>
    </row>
    <row r="81" spans="1:54" ht="14.25" customHeight="1" thickBot="1">
      <c r="A81" s="13">
        <v>40552</v>
      </c>
      <c r="B81" s="14" t="s">
        <v>14</v>
      </c>
      <c r="C81" s="14" t="s">
        <v>9</v>
      </c>
      <c r="D81" s="16">
        <v>798</v>
      </c>
      <c r="E81" s="14" t="s">
        <v>63</v>
      </c>
      <c r="F81" s="14" t="s">
        <v>24</v>
      </c>
      <c r="G81" s="14" t="s">
        <v>42</v>
      </c>
      <c r="H81" s="16">
        <v>42</v>
      </c>
      <c r="I81" s="16">
        <v>798</v>
      </c>
      <c r="J81" s="16">
        <v>336</v>
      </c>
      <c r="K81" s="17">
        <v>88</v>
      </c>
      <c r="L81" s="17">
        <v>79</v>
      </c>
      <c r="M81" s="17">
        <v>72</v>
      </c>
      <c r="N81" s="17">
        <v>62</v>
      </c>
      <c r="O81" s="17">
        <v>301</v>
      </c>
      <c r="P81" s="11" t="s">
        <v>65</v>
      </c>
      <c r="Q81" s="11"/>
      <c r="R81" s="11"/>
      <c r="S81" s="36" t="s">
        <v>47</v>
      </c>
      <c r="AH81" s="13">
        <v>40549</v>
      </c>
      <c r="AI81" s="14" t="str">
        <f t="shared" si="3"/>
        <v>QUAD</v>
      </c>
      <c r="AJ81" s="14" t="s">
        <v>19</v>
      </c>
      <c r="AK81" s="15">
        <v>1728</v>
      </c>
      <c r="AL81" s="14" t="s">
        <v>63</v>
      </c>
      <c r="AM81" s="14" t="s">
        <v>13</v>
      </c>
      <c r="AN81" s="14" t="str">
        <f t="shared" si="4"/>
        <v>Pcc</v>
      </c>
      <c r="AO81" s="16">
        <v>64</v>
      </c>
      <c r="AP81" s="15">
        <v>1728</v>
      </c>
      <c r="AQ81" s="16">
        <v>928</v>
      </c>
      <c r="AR81" s="17">
        <v>97</v>
      </c>
      <c r="AS81" s="17">
        <v>62</v>
      </c>
      <c r="AT81" s="17">
        <v>71</v>
      </c>
      <c r="AU81" s="17">
        <v>85</v>
      </c>
      <c r="AV81" s="17">
        <v>315</v>
      </c>
      <c r="AW81" s="11" t="s">
        <v>65</v>
      </c>
      <c r="BA81" s="14" t="s">
        <v>42</v>
      </c>
      <c r="BB81" s="16">
        <f t="shared" si="5"/>
        <v>3</v>
      </c>
    </row>
    <row r="82" spans="1:54" ht="14.25" customHeight="1" thickBot="1">
      <c r="A82" s="13">
        <v>40561</v>
      </c>
      <c r="B82" s="14" t="s">
        <v>14</v>
      </c>
      <c r="C82" s="14" t="s">
        <v>22</v>
      </c>
      <c r="D82" s="15">
        <v>1178</v>
      </c>
      <c r="E82" s="14" t="s">
        <v>83</v>
      </c>
      <c r="F82" s="14" t="s">
        <v>17</v>
      </c>
      <c r="G82" s="14" t="s">
        <v>42</v>
      </c>
      <c r="H82" s="16">
        <v>62</v>
      </c>
      <c r="I82" s="15">
        <v>1178</v>
      </c>
      <c r="J82" s="16">
        <v>496</v>
      </c>
      <c r="K82" s="17">
        <v>75</v>
      </c>
      <c r="L82" s="17">
        <v>99</v>
      </c>
      <c r="M82" s="17">
        <v>95</v>
      </c>
      <c r="N82" s="17">
        <v>96</v>
      </c>
      <c r="O82" s="17">
        <v>365</v>
      </c>
      <c r="P82" s="11" t="s">
        <v>65</v>
      </c>
      <c r="Q82" s="11"/>
      <c r="R82" s="11"/>
      <c r="S82" s="36" t="s">
        <v>48</v>
      </c>
      <c r="AH82" s="13">
        <v>40550</v>
      </c>
      <c r="AI82" s="14" t="str">
        <f t="shared" si="3"/>
        <v>SUNSET</v>
      </c>
      <c r="AJ82" s="14" t="s">
        <v>22</v>
      </c>
      <c r="AK82" s="16">
        <v>462</v>
      </c>
      <c r="AL82" s="14" t="s">
        <v>83</v>
      </c>
      <c r="AM82" s="14" t="s">
        <v>13</v>
      </c>
      <c r="AN82" s="14" t="str">
        <f t="shared" si="4"/>
        <v>Pcc</v>
      </c>
      <c r="AO82" s="16">
        <v>22</v>
      </c>
      <c r="AP82" s="16">
        <v>462</v>
      </c>
      <c r="AQ82" s="16">
        <v>204</v>
      </c>
      <c r="AR82" s="17">
        <v>83</v>
      </c>
      <c r="AS82" s="17">
        <v>61</v>
      </c>
      <c r="AT82" s="17">
        <v>88</v>
      </c>
      <c r="AU82" s="17">
        <v>60</v>
      </c>
      <c r="AV82" s="17">
        <v>292</v>
      </c>
      <c r="AW82" s="11" t="s">
        <v>71</v>
      </c>
      <c r="BA82" s="14" t="s">
        <v>42</v>
      </c>
      <c r="BB82" s="16">
        <f t="shared" si="5"/>
        <v>3</v>
      </c>
    </row>
    <row r="83" spans="1:54" ht="14.25" customHeight="1" thickBot="1">
      <c r="A83" s="13">
        <v>40606</v>
      </c>
      <c r="B83" s="14" t="s">
        <v>14</v>
      </c>
      <c r="C83" s="14" t="s">
        <v>22</v>
      </c>
      <c r="D83" s="15">
        <v>1178</v>
      </c>
      <c r="E83" s="14" t="s">
        <v>83</v>
      </c>
      <c r="F83" s="14" t="s">
        <v>17</v>
      </c>
      <c r="G83" s="14" t="s">
        <v>42</v>
      </c>
      <c r="H83" s="16">
        <v>62</v>
      </c>
      <c r="I83" s="15">
        <v>1178</v>
      </c>
      <c r="J83" s="16">
        <v>496</v>
      </c>
      <c r="K83" s="17">
        <v>87</v>
      </c>
      <c r="L83" s="17">
        <v>81</v>
      </c>
      <c r="M83" s="17">
        <v>77</v>
      </c>
      <c r="N83" s="17">
        <v>86</v>
      </c>
      <c r="O83" s="17">
        <v>331</v>
      </c>
      <c r="P83" s="11" t="s">
        <v>65</v>
      </c>
      <c r="Q83" s="11"/>
      <c r="R83" s="11"/>
      <c r="S83" s="36" t="s">
        <v>49</v>
      </c>
      <c r="AH83" s="13">
        <v>40552</v>
      </c>
      <c r="AI83" s="14" t="str">
        <f t="shared" si="3"/>
        <v>SUNSHINE</v>
      </c>
      <c r="AJ83" s="14" t="s">
        <v>9</v>
      </c>
      <c r="AK83" s="16">
        <v>798</v>
      </c>
      <c r="AL83" s="14" t="s">
        <v>63</v>
      </c>
      <c r="AM83" s="14" t="s">
        <v>24</v>
      </c>
      <c r="AN83" s="14" t="str">
        <f t="shared" si="4"/>
        <v>Pcc</v>
      </c>
      <c r="AO83" s="16">
        <v>42</v>
      </c>
      <c r="AP83" s="16">
        <v>798</v>
      </c>
      <c r="AQ83" s="16">
        <v>336</v>
      </c>
      <c r="AR83" s="17">
        <v>88</v>
      </c>
      <c r="AS83" s="17">
        <v>79</v>
      </c>
      <c r="AT83" s="17">
        <v>72</v>
      </c>
      <c r="AU83" s="17">
        <v>62</v>
      </c>
      <c r="AV83" s="17">
        <v>301</v>
      </c>
      <c r="AW83" s="11" t="s">
        <v>65</v>
      </c>
      <c r="BA83" s="14" t="s">
        <v>42</v>
      </c>
      <c r="BB83" s="16">
        <f t="shared" si="5"/>
        <v>3</v>
      </c>
    </row>
    <row r="84" spans="1:54" ht="14.25" customHeight="1" thickBot="1">
      <c r="A84" s="13">
        <v>40546</v>
      </c>
      <c r="B84" s="14" t="s">
        <v>14</v>
      </c>
      <c r="C84" s="14" t="s">
        <v>26</v>
      </c>
      <c r="D84" s="16">
        <v>114</v>
      </c>
      <c r="E84" s="14" t="s">
        <v>83</v>
      </c>
      <c r="F84" s="14" t="s">
        <v>13</v>
      </c>
      <c r="G84" s="14" t="s">
        <v>42</v>
      </c>
      <c r="H84" s="16">
        <v>6</v>
      </c>
      <c r="I84" s="16">
        <v>114</v>
      </c>
      <c r="J84" s="16">
        <v>48</v>
      </c>
      <c r="K84" s="17">
        <v>100</v>
      </c>
      <c r="L84" s="17">
        <v>78</v>
      </c>
      <c r="M84" s="17">
        <v>82</v>
      </c>
      <c r="N84" s="17">
        <v>78</v>
      </c>
      <c r="O84" s="17">
        <v>338</v>
      </c>
      <c r="P84" s="11" t="s">
        <v>71</v>
      </c>
      <c r="Q84" s="11"/>
      <c r="R84" s="11"/>
      <c r="S84" s="36" t="s">
        <v>50</v>
      </c>
      <c r="AH84" s="13">
        <v>40561</v>
      </c>
      <c r="AI84" s="14" t="str">
        <f t="shared" si="3"/>
        <v>SUNSHINE</v>
      </c>
      <c r="AJ84" s="14" t="s">
        <v>22</v>
      </c>
      <c r="AK84" s="15">
        <v>1178</v>
      </c>
      <c r="AL84" s="14" t="s">
        <v>83</v>
      </c>
      <c r="AM84" s="14" t="s">
        <v>17</v>
      </c>
      <c r="AN84" s="14" t="str">
        <f t="shared" si="4"/>
        <v>Pcc</v>
      </c>
      <c r="AO84" s="16">
        <v>62</v>
      </c>
      <c r="AP84" s="15">
        <v>1178</v>
      </c>
      <c r="AQ84" s="16">
        <v>496</v>
      </c>
      <c r="AR84" s="17">
        <v>75</v>
      </c>
      <c r="AS84" s="17">
        <v>99</v>
      </c>
      <c r="AT84" s="17">
        <v>95</v>
      </c>
      <c r="AU84" s="17">
        <v>96</v>
      </c>
      <c r="AV84" s="17">
        <v>365</v>
      </c>
      <c r="AW84" s="11" t="s">
        <v>65</v>
      </c>
      <c r="BA84" s="14" t="s">
        <v>42</v>
      </c>
      <c r="BB84" s="16">
        <f t="shared" si="5"/>
        <v>3</v>
      </c>
    </row>
    <row r="85" spans="1:54" ht="14.25" customHeight="1" thickBot="1">
      <c r="A85" s="13">
        <v>40576</v>
      </c>
      <c r="B85" s="14" t="s">
        <v>14</v>
      </c>
      <c r="C85" s="14" t="s">
        <v>26</v>
      </c>
      <c r="D85" s="16">
        <v>114</v>
      </c>
      <c r="E85" s="14" t="s">
        <v>83</v>
      </c>
      <c r="F85" s="14" t="s">
        <v>13</v>
      </c>
      <c r="G85" s="14" t="s">
        <v>42</v>
      </c>
      <c r="H85" s="16">
        <v>6</v>
      </c>
      <c r="I85" s="16">
        <v>114</v>
      </c>
      <c r="J85" s="16">
        <v>48</v>
      </c>
      <c r="K85" s="17">
        <v>92</v>
      </c>
      <c r="L85" s="17">
        <v>84</v>
      </c>
      <c r="M85" s="17">
        <v>89</v>
      </c>
      <c r="N85" s="17">
        <v>96</v>
      </c>
      <c r="O85" s="17">
        <v>361</v>
      </c>
      <c r="P85" s="11" t="s">
        <v>71</v>
      </c>
      <c r="Q85" s="11"/>
      <c r="R85" s="11"/>
      <c r="S85" s="36" t="s">
        <v>51</v>
      </c>
      <c r="AH85" s="13">
        <v>40606</v>
      </c>
      <c r="AI85" s="14" t="str">
        <f t="shared" si="3"/>
        <v>SUNSHINE</v>
      </c>
      <c r="AJ85" s="14" t="s">
        <v>22</v>
      </c>
      <c r="AK85" s="15">
        <v>1178</v>
      </c>
      <c r="AL85" s="14" t="s">
        <v>83</v>
      </c>
      <c r="AM85" s="14" t="s">
        <v>17</v>
      </c>
      <c r="AN85" s="14" t="str">
        <f t="shared" si="4"/>
        <v>Pcc</v>
      </c>
      <c r="AO85" s="16">
        <v>62</v>
      </c>
      <c r="AP85" s="15">
        <v>1178</v>
      </c>
      <c r="AQ85" s="16">
        <v>496</v>
      </c>
      <c r="AR85" s="17">
        <v>87</v>
      </c>
      <c r="AS85" s="17">
        <v>81</v>
      </c>
      <c r="AT85" s="17">
        <v>77</v>
      </c>
      <c r="AU85" s="17">
        <v>86</v>
      </c>
      <c r="AV85" s="17">
        <v>331</v>
      </c>
      <c r="AW85" s="11" t="s">
        <v>65</v>
      </c>
      <c r="BA85" s="14" t="s">
        <v>42</v>
      </c>
      <c r="BB85" s="16">
        <f t="shared" si="5"/>
        <v>3</v>
      </c>
    </row>
    <row r="86" spans="1:54" ht="14.25" customHeight="1" thickBot="1">
      <c r="A86" s="13">
        <v>40556</v>
      </c>
      <c r="B86" s="14" t="s">
        <v>16</v>
      </c>
      <c r="C86" s="14" t="s">
        <v>22</v>
      </c>
      <c r="D86" s="15">
        <v>1254</v>
      </c>
      <c r="E86" s="14" t="s">
        <v>83</v>
      </c>
      <c r="F86" s="14" t="s">
        <v>10</v>
      </c>
      <c r="G86" s="14" t="s">
        <v>43</v>
      </c>
      <c r="H86" s="16">
        <v>57</v>
      </c>
      <c r="I86" s="15">
        <v>1254</v>
      </c>
      <c r="J86" s="16">
        <v>570</v>
      </c>
      <c r="K86" s="17">
        <v>78</v>
      </c>
      <c r="L86" s="17">
        <v>80</v>
      </c>
      <c r="M86" s="17">
        <v>91</v>
      </c>
      <c r="N86" s="17">
        <v>89</v>
      </c>
      <c r="O86" s="17">
        <v>338</v>
      </c>
      <c r="P86" s="11" t="s">
        <v>65</v>
      </c>
      <c r="Q86" s="11"/>
      <c r="R86" s="11"/>
      <c r="S86" s="36" t="s">
        <v>80</v>
      </c>
      <c r="AH86" s="13">
        <v>40546</v>
      </c>
      <c r="AI86" s="14" t="str">
        <f t="shared" si="3"/>
        <v>SUNSHINE</v>
      </c>
      <c r="AJ86" s="14" t="s">
        <v>26</v>
      </c>
      <c r="AK86" s="16">
        <v>114</v>
      </c>
      <c r="AL86" s="14" t="s">
        <v>83</v>
      </c>
      <c r="AM86" s="14" t="s">
        <v>13</v>
      </c>
      <c r="AN86" s="14" t="str">
        <f t="shared" si="4"/>
        <v>Pcc</v>
      </c>
      <c r="AO86" s="16">
        <v>6</v>
      </c>
      <c r="AP86" s="16">
        <v>114</v>
      </c>
      <c r="AQ86" s="16">
        <v>48</v>
      </c>
      <c r="AR86" s="17">
        <v>100</v>
      </c>
      <c r="AS86" s="17">
        <v>78</v>
      </c>
      <c r="AT86" s="17">
        <v>82</v>
      </c>
      <c r="AU86" s="17">
        <v>78</v>
      </c>
      <c r="AV86" s="17">
        <v>338</v>
      </c>
      <c r="AW86" s="11" t="s">
        <v>71</v>
      </c>
      <c r="BA86" s="14" t="s">
        <v>42</v>
      </c>
      <c r="BB86" s="16">
        <f t="shared" si="5"/>
        <v>3</v>
      </c>
    </row>
    <row r="87" spans="1:54" ht="14.25" customHeight="1" thickBot="1">
      <c r="A87" s="13">
        <v>40572</v>
      </c>
      <c r="B87" s="14" t="s">
        <v>12</v>
      </c>
      <c r="C87" s="14" t="s">
        <v>22</v>
      </c>
      <c r="D87" s="16">
        <v>270</v>
      </c>
      <c r="E87" s="14" t="s">
        <v>83</v>
      </c>
      <c r="F87" s="14" t="s">
        <v>21</v>
      </c>
      <c r="G87" s="14" t="s">
        <v>43</v>
      </c>
      <c r="H87" s="16">
        <v>10</v>
      </c>
      <c r="I87" s="16">
        <v>270</v>
      </c>
      <c r="J87" s="16">
        <v>145</v>
      </c>
      <c r="K87" s="17">
        <v>76</v>
      </c>
      <c r="L87" s="17">
        <v>77</v>
      </c>
      <c r="M87" s="17">
        <v>90</v>
      </c>
      <c r="N87" s="17">
        <v>61</v>
      </c>
      <c r="O87" s="17">
        <v>304</v>
      </c>
      <c r="P87" s="11" t="s">
        <v>71</v>
      </c>
      <c r="Q87" s="11"/>
      <c r="R87" s="11"/>
      <c r="S87" s="36" t="s">
        <v>52</v>
      </c>
      <c r="AH87" s="13">
        <v>40576</v>
      </c>
      <c r="AI87" s="14" t="str">
        <f t="shared" si="3"/>
        <v>SUNSHINE</v>
      </c>
      <c r="AJ87" s="14" t="s">
        <v>26</v>
      </c>
      <c r="AK87" s="16">
        <v>114</v>
      </c>
      <c r="AL87" s="14" t="s">
        <v>83</v>
      </c>
      <c r="AM87" s="14" t="s">
        <v>13</v>
      </c>
      <c r="AN87" s="14" t="str">
        <f t="shared" si="4"/>
        <v>Pcc</v>
      </c>
      <c r="AO87" s="16">
        <v>6</v>
      </c>
      <c r="AP87" s="16">
        <v>114</v>
      </c>
      <c r="AQ87" s="16">
        <v>48</v>
      </c>
      <c r="AR87" s="17">
        <v>92</v>
      </c>
      <c r="AS87" s="17">
        <v>84</v>
      </c>
      <c r="AT87" s="17">
        <v>89</v>
      </c>
      <c r="AU87" s="17">
        <v>96</v>
      </c>
      <c r="AV87" s="17">
        <v>361</v>
      </c>
      <c r="AW87" s="11" t="s">
        <v>71</v>
      </c>
      <c r="BA87" s="14" t="s">
        <v>42</v>
      </c>
      <c r="BB87" s="16">
        <f t="shared" si="5"/>
        <v>3</v>
      </c>
    </row>
    <row r="88" spans="1:54" ht="14.25" customHeight="1" thickBot="1">
      <c r="A88" s="13">
        <v>40561</v>
      </c>
      <c r="B88" s="14" t="s">
        <v>12</v>
      </c>
      <c r="C88" s="14" t="s">
        <v>22</v>
      </c>
      <c r="D88" s="16">
        <v>459</v>
      </c>
      <c r="E88" s="14" t="s">
        <v>83</v>
      </c>
      <c r="F88" s="14" t="s">
        <v>24</v>
      </c>
      <c r="G88" s="14" t="s">
        <v>43</v>
      </c>
      <c r="H88" s="16">
        <v>17</v>
      </c>
      <c r="I88" s="16">
        <v>459</v>
      </c>
      <c r="J88" s="16">
        <v>247</v>
      </c>
      <c r="K88" s="17">
        <v>84</v>
      </c>
      <c r="L88" s="17">
        <v>63</v>
      </c>
      <c r="M88" s="17">
        <v>90</v>
      </c>
      <c r="N88" s="17">
        <v>88</v>
      </c>
      <c r="O88" s="17">
        <v>325</v>
      </c>
      <c r="P88" s="11" t="s">
        <v>65</v>
      </c>
      <c r="Q88" s="11"/>
      <c r="R88" s="11"/>
      <c r="S88" s="36" t="s">
        <v>53</v>
      </c>
      <c r="AH88" s="13">
        <v>40556</v>
      </c>
      <c r="AI88" s="14" t="str">
        <f t="shared" si="3"/>
        <v>BELLEN</v>
      </c>
      <c r="AJ88" s="14" t="s">
        <v>22</v>
      </c>
      <c r="AK88" s="15">
        <v>1254</v>
      </c>
      <c r="AL88" s="14" t="s">
        <v>83</v>
      </c>
      <c r="AM88" s="14" t="s">
        <v>10</v>
      </c>
      <c r="AN88" s="14" t="str">
        <f t="shared" si="4"/>
        <v>Plot</v>
      </c>
      <c r="AO88" s="16">
        <v>57</v>
      </c>
      <c r="AP88" s="15">
        <v>1254</v>
      </c>
      <c r="AQ88" s="16">
        <v>570</v>
      </c>
      <c r="AR88" s="17">
        <v>78</v>
      </c>
      <c r="AS88" s="17">
        <v>80</v>
      </c>
      <c r="AT88" s="17">
        <v>91</v>
      </c>
      <c r="AU88" s="17">
        <v>89</v>
      </c>
      <c r="AV88" s="17">
        <v>338</v>
      </c>
      <c r="AW88" s="11" t="s">
        <v>65</v>
      </c>
      <c r="BA88" s="14" t="s">
        <v>42</v>
      </c>
      <c r="BB88" s="16">
        <f t="shared" si="5"/>
        <v>3</v>
      </c>
    </row>
    <row r="89" spans="1:54" ht="14.25" customHeight="1" thickBot="1">
      <c r="A89" s="13">
        <v>40563</v>
      </c>
      <c r="B89" s="14" t="s">
        <v>16</v>
      </c>
      <c r="C89" s="14" t="s">
        <v>9</v>
      </c>
      <c r="D89" s="16">
        <v>220</v>
      </c>
      <c r="E89" s="14" t="s">
        <v>63</v>
      </c>
      <c r="F89" s="14" t="s">
        <v>21</v>
      </c>
      <c r="G89" s="14" t="s">
        <v>44</v>
      </c>
      <c r="H89" s="16">
        <v>10</v>
      </c>
      <c r="I89" s="16">
        <v>220</v>
      </c>
      <c r="J89" s="16">
        <v>100</v>
      </c>
      <c r="K89" s="17">
        <v>60</v>
      </c>
      <c r="L89" s="17">
        <v>70</v>
      </c>
      <c r="M89" s="17">
        <v>87</v>
      </c>
      <c r="N89" s="17">
        <v>67</v>
      </c>
      <c r="O89" s="17">
        <v>284</v>
      </c>
      <c r="P89" s="11" t="s">
        <v>71</v>
      </c>
      <c r="Q89" s="11"/>
      <c r="R89" s="11"/>
      <c r="S89" s="36" t="s">
        <v>261</v>
      </c>
      <c r="AH89" s="13">
        <v>40572</v>
      </c>
      <c r="AI89" s="14" t="str">
        <f t="shared" si="3"/>
        <v>QUAD</v>
      </c>
      <c r="AJ89" s="14" t="s">
        <v>22</v>
      </c>
      <c r="AK89" s="16">
        <v>270</v>
      </c>
      <c r="AL89" s="14" t="s">
        <v>83</v>
      </c>
      <c r="AM89" s="14" t="s">
        <v>21</v>
      </c>
      <c r="AN89" s="14" t="str">
        <f t="shared" si="4"/>
        <v>Plot</v>
      </c>
      <c r="AO89" s="16">
        <v>10</v>
      </c>
      <c r="AP89" s="16">
        <v>270</v>
      </c>
      <c r="AQ89" s="16">
        <v>145</v>
      </c>
      <c r="AR89" s="17">
        <v>76</v>
      </c>
      <c r="AS89" s="17">
        <v>77</v>
      </c>
      <c r="AT89" s="17">
        <v>90</v>
      </c>
      <c r="AU89" s="17">
        <v>61</v>
      </c>
      <c r="AV89" s="17">
        <v>304</v>
      </c>
      <c r="AW89" s="11" t="s">
        <v>71</v>
      </c>
      <c r="BA89" s="14" t="s">
        <v>42</v>
      </c>
      <c r="BB89" s="16">
        <f t="shared" si="5"/>
        <v>3</v>
      </c>
    </row>
    <row r="90" spans="1:54" ht="14.25" customHeight="1" thickBot="1">
      <c r="A90" s="13">
        <v>40569</v>
      </c>
      <c r="B90" s="14" t="s">
        <v>16</v>
      </c>
      <c r="C90" s="14" t="s">
        <v>22</v>
      </c>
      <c r="D90" s="16">
        <v>462</v>
      </c>
      <c r="E90" s="14" t="s">
        <v>83</v>
      </c>
      <c r="F90" s="14" t="s">
        <v>21</v>
      </c>
      <c r="G90" s="14" t="s">
        <v>44</v>
      </c>
      <c r="H90" s="16">
        <v>21</v>
      </c>
      <c r="I90" s="16">
        <v>462</v>
      </c>
      <c r="J90" s="16">
        <v>210</v>
      </c>
      <c r="K90" s="17">
        <v>85</v>
      </c>
      <c r="L90" s="17">
        <v>96</v>
      </c>
      <c r="M90" s="17">
        <v>71</v>
      </c>
      <c r="N90" s="17">
        <v>65</v>
      </c>
      <c r="O90" s="17">
        <v>317</v>
      </c>
      <c r="P90" s="11" t="s">
        <v>71</v>
      </c>
      <c r="Q90" s="11"/>
      <c r="R90" s="11"/>
      <c r="AH90" s="13">
        <v>40561</v>
      </c>
      <c r="AI90" s="14" t="str">
        <f t="shared" si="3"/>
        <v>QUAD</v>
      </c>
      <c r="AJ90" s="14" t="s">
        <v>22</v>
      </c>
      <c r="AK90" s="16">
        <v>459</v>
      </c>
      <c r="AL90" s="14" t="s">
        <v>83</v>
      </c>
      <c r="AM90" s="14" t="s">
        <v>24</v>
      </c>
      <c r="AN90" s="14" t="str">
        <f t="shared" si="4"/>
        <v>Plot</v>
      </c>
      <c r="AO90" s="16">
        <v>17</v>
      </c>
      <c r="AP90" s="16">
        <v>459</v>
      </c>
      <c r="AQ90" s="16">
        <v>247</v>
      </c>
      <c r="AR90" s="17">
        <v>84</v>
      </c>
      <c r="AS90" s="17">
        <v>63</v>
      </c>
      <c r="AT90" s="17">
        <v>90</v>
      </c>
      <c r="AU90" s="17">
        <v>88</v>
      </c>
      <c r="AV90" s="17">
        <v>325</v>
      </c>
      <c r="AW90" s="11" t="s">
        <v>65</v>
      </c>
      <c r="BA90" s="14" t="s">
        <v>42</v>
      </c>
      <c r="BB90" s="16">
        <f t="shared" si="5"/>
        <v>3</v>
      </c>
    </row>
    <row r="91" spans="1:54" ht="14.25" customHeight="1" thickBot="1">
      <c r="A91" s="13">
        <v>40599</v>
      </c>
      <c r="B91" s="14" t="s">
        <v>16</v>
      </c>
      <c r="C91" s="14" t="s">
        <v>22</v>
      </c>
      <c r="D91" s="16">
        <v>462</v>
      </c>
      <c r="E91" s="14" t="s">
        <v>83</v>
      </c>
      <c r="F91" s="14" t="s">
        <v>21</v>
      </c>
      <c r="G91" s="14" t="s">
        <v>44</v>
      </c>
      <c r="H91" s="16">
        <v>21</v>
      </c>
      <c r="I91" s="16">
        <v>462</v>
      </c>
      <c r="J91" s="16">
        <v>210</v>
      </c>
      <c r="K91" s="17">
        <v>74</v>
      </c>
      <c r="L91" s="17">
        <v>99</v>
      </c>
      <c r="M91" s="17">
        <v>73</v>
      </c>
      <c r="N91" s="17">
        <v>61</v>
      </c>
      <c r="O91" s="17">
        <v>307</v>
      </c>
      <c r="P91" s="11" t="s">
        <v>71</v>
      </c>
      <c r="Q91" s="11"/>
      <c r="R91" s="11"/>
      <c r="AH91" s="13">
        <v>40563</v>
      </c>
      <c r="AI91" s="14" t="str">
        <f t="shared" si="3"/>
        <v>BELLEN</v>
      </c>
      <c r="AJ91" s="14" t="s">
        <v>9</v>
      </c>
      <c r="AK91" s="16">
        <v>220</v>
      </c>
      <c r="AL91" s="14" t="s">
        <v>63</v>
      </c>
      <c r="AM91" s="14" t="s">
        <v>21</v>
      </c>
      <c r="AN91" s="14" t="str">
        <f t="shared" si="4"/>
        <v>Psa</v>
      </c>
      <c r="AO91" s="16">
        <v>10</v>
      </c>
      <c r="AP91" s="16">
        <v>220</v>
      </c>
      <c r="AQ91" s="16">
        <v>100</v>
      </c>
      <c r="AR91" s="17">
        <v>60</v>
      </c>
      <c r="AS91" s="17">
        <v>70</v>
      </c>
      <c r="AT91" s="17">
        <v>87</v>
      </c>
      <c r="AU91" s="17">
        <v>67</v>
      </c>
      <c r="AV91" s="17">
        <v>284</v>
      </c>
      <c r="AW91" s="11" t="s">
        <v>71</v>
      </c>
      <c r="BA91" s="14" t="s">
        <v>42</v>
      </c>
      <c r="BB91" s="16">
        <f t="shared" si="5"/>
        <v>3</v>
      </c>
    </row>
    <row r="92" spans="1:54" ht="14.25" customHeight="1" thickBot="1">
      <c r="A92" s="13">
        <v>40556</v>
      </c>
      <c r="B92" s="14" t="s">
        <v>16</v>
      </c>
      <c r="C92" s="14" t="s">
        <v>22</v>
      </c>
      <c r="D92" s="16">
        <v>880</v>
      </c>
      <c r="E92" s="14" t="s">
        <v>83</v>
      </c>
      <c r="F92" s="14" t="s">
        <v>10</v>
      </c>
      <c r="G92" s="14" t="s">
        <v>44</v>
      </c>
      <c r="H92" s="16">
        <v>40</v>
      </c>
      <c r="I92" s="16">
        <v>880</v>
      </c>
      <c r="J92" s="16">
        <v>400</v>
      </c>
      <c r="K92" s="17">
        <v>96</v>
      </c>
      <c r="L92" s="17">
        <v>91</v>
      </c>
      <c r="M92" s="17">
        <v>87</v>
      </c>
      <c r="N92" s="17">
        <v>95</v>
      </c>
      <c r="O92" s="17">
        <v>369</v>
      </c>
      <c r="P92" s="11" t="s">
        <v>65</v>
      </c>
      <c r="Q92" s="11"/>
      <c r="R92" s="11"/>
      <c r="AH92" s="13">
        <v>40569</v>
      </c>
      <c r="AI92" s="14" t="str">
        <f t="shared" si="3"/>
        <v>BELLEN</v>
      </c>
      <c r="AJ92" s="14" t="s">
        <v>22</v>
      </c>
      <c r="AK92" s="16">
        <v>462</v>
      </c>
      <c r="AL92" s="14" t="s">
        <v>83</v>
      </c>
      <c r="AM92" s="14" t="s">
        <v>21</v>
      </c>
      <c r="AN92" s="14" t="str">
        <f t="shared" si="4"/>
        <v>Psa</v>
      </c>
      <c r="AO92" s="16">
        <v>21</v>
      </c>
      <c r="AP92" s="16">
        <v>462</v>
      </c>
      <c r="AQ92" s="16">
        <v>210</v>
      </c>
      <c r="AR92" s="17">
        <v>85</v>
      </c>
      <c r="AS92" s="17">
        <v>96</v>
      </c>
      <c r="AT92" s="17">
        <v>71</v>
      </c>
      <c r="AU92" s="17">
        <v>65</v>
      </c>
      <c r="AV92" s="17">
        <v>317</v>
      </c>
      <c r="AW92" s="11" t="s">
        <v>71</v>
      </c>
      <c r="BA92" s="14" t="s">
        <v>43</v>
      </c>
      <c r="BB92" s="16">
        <f t="shared" si="5"/>
        <v>4</v>
      </c>
    </row>
    <row r="93" spans="1:54" ht="14.25" customHeight="1" thickBot="1">
      <c r="A93" s="13">
        <v>40549</v>
      </c>
      <c r="B93" s="14" t="s">
        <v>14</v>
      </c>
      <c r="C93" s="14" t="s">
        <v>9</v>
      </c>
      <c r="D93" s="15">
        <v>1026</v>
      </c>
      <c r="E93" s="14" t="s">
        <v>63</v>
      </c>
      <c r="F93" s="14" t="s">
        <v>15</v>
      </c>
      <c r="G93" s="14" t="s">
        <v>44</v>
      </c>
      <c r="H93" s="16">
        <v>54</v>
      </c>
      <c r="I93" s="15">
        <v>1026</v>
      </c>
      <c r="J93" s="16">
        <v>432</v>
      </c>
      <c r="K93" s="17">
        <v>97</v>
      </c>
      <c r="L93" s="17">
        <v>67</v>
      </c>
      <c r="M93" s="17">
        <v>77</v>
      </c>
      <c r="N93" s="17">
        <v>91</v>
      </c>
      <c r="O93" s="17">
        <v>332</v>
      </c>
      <c r="P93" s="11" t="s">
        <v>65</v>
      </c>
      <c r="Q93" s="11"/>
      <c r="R93" s="11"/>
      <c r="S93" s="11" t="s">
        <v>317</v>
      </c>
      <c r="T93" s="34"/>
      <c r="AH93" s="13">
        <v>40599</v>
      </c>
      <c r="AI93" s="14" t="str">
        <f t="shared" si="3"/>
        <v>BELLEN</v>
      </c>
      <c r="AJ93" s="14" t="s">
        <v>22</v>
      </c>
      <c r="AK93" s="16">
        <v>462</v>
      </c>
      <c r="AL93" s="14" t="s">
        <v>83</v>
      </c>
      <c r="AM93" s="14" t="s">
        <v>21</v>
      </c>
      <c r="AN93" s="14" t="str">
        <f t="shared" si="4"/>
        <v>Psa</v>
      </c>
      <c r="AO93" s="16">
        <v>21</v>
      </c>
      <c r="AP93" s="16">
        <v>462</v>
      </c>
      <c r="AQ93" s="16">
        <v>210</v>
      </c>
      <c r="AR93" s="17">
        <v>74</v>
      </c>
      <c r="AS93" s="17">
        <v>99</v>
      </c>
      <c r="AT93" s="17">
        <v>73</v>
      </c>
      <c r="AU93" s="17">
        <v>61</v>
      </c>
      <c r="AV93" s="17">
        <v>307</v>
      </c>
      <c r="AW93" s="11" t="s">
        <v>71</v>
      </c>
      <c r="BA93" s="14" t="s">
        <v>43</v>
      </c>
      <c r="BB93" s="16">
        <f t="shared" si="5"/>
        <v>4</v>
      </c>
    </row>
    <row r="94" spans="1:54" ht="14.25" customHeight="1" thickBot="1">
      <c r="A94" s="13">
        <v>40556</v>
      </c>
      <c r="B94" s="14" t="s">
        <v>14</v>
      </c>
      <c r="C94" s="14" t="s">
        <v>22</v>
      </c>
      <c r="D94" s="16">
        <v>627</v>
      </c>
      <c r="E94" s="14" t="s">
        <v>83</v>
      </c>
      <c r="F94" s="14" t="s">
        <v>10</v>
      </c>
      <c r="G94" s="14" t="s">
        <v>44</v>
      </c>
      <c r="H94" s="16">
        <v>33</v>
      </c>
      <c r="I94" s="16">
        <v>627</v>
      </c>
      <c r="J94" s="16">
        <v>264</v>
      </c>
      <c r="K94" s="17">
        <v>91</v>
      </c>
      <c r="L94" s="17">
        <v>62</v>
      </c>
      <c r="M94" s="17">
        <v>90</v>
      </c>
      <c r="N94" s="17">
        <v>61</v>
      </c>
      <c r="O94" s="17">
        <v>304</v>
      </c>
      <c r="P94" s="11" t="s">
        <v>65</v>
      </c>
      <c r="Q94" s="11"/>
      <c r="R94" s="11"/>
      <c r="S94" s="35" t="s">
        <v>326</v>
      </c>
      <c r="AH94" s="13">
        <v>40556</v>
      </c>
      <c r="AI94" s="14" t="str">
        <f t="shared" si="3"/>
        <v>BELLEN</v>
      </c>
      <c r="AJ94" s="14" t="s">
        <v>22</v>
      </c>
      <c r="AK94" s="16">
        <v>880</v>
      </c>
      <c r="AL94" s="14" t="s">
        <v>83</v>
      </c>
      <c r="AM94" s="14" t="s">
        <v>10</v>
      </c>
      <c r="AN94" s="14" t="str">
        <f t="shared" si="4"/>
        <v>Psa</v>
      </c>
      <c r="AO94" s="16">
        <v>40</v>
      </c>
      <c r="AP94" s="16">
        <v>880</v>
      </c>
      <c r="AQ94" s="16">
        <v>400</v>
      </c>
      <c r="AR94" s="17">
        <v>96</v>
      </c>
      <c r="AS94" s="17">
        <v>91</v>
      </c>
      <c r="AT94" s="17">
        <v>87</v>
      </c>
      <c r="AU94" s="17">
        <v>95</v>
      </c>
      <c r="AV94" s="17">
        <v>369</v>
      </c>
      <c r="AW94" s="11" t="s">
        <v>65</v>
      </c>
      <c r="BA94" s="14" t="s">
        <v>43</v>
      </c>
      <c r="BB94" s="16">
        <f t="shared" si="5"/>
        <v>4</v>
      </c>
    </row>
    <row r="95" spans="1:54" ht="14.25" customHeight="1" thickBot="1">
      <c r="A95" s="13">
        <v>40552</v>
      </c>
      <c r="B95" s="14" t="s">
        <v>16</v>
      </c>
      <c r="C95" s="14" t="s">
        <v>26</v>
      </c>
      <c r="D95" s="16">
        <v>330</v>
      </c>
      <c r="E95" s="14" t="s">
        <v>83</v>
      </c>
      <c r="F95" s="14" t="s">
        <v>13</v>
      </c>
      <c r="G95" s="14" t="s">
        <v>45</v>
      </c>
      <c r="H95" s="16">
        <v>15</v>
      </c>
      <c r="I95" s="16">
        <v>330</v>
      </c>
      <c r="J95" s="16">
        <v>150</v>
      </c>
      <c r="K95" s="17">
        <v>85</v>
      </c>
      <c r="L95" s="17">
        <v>60</v>
      </c>
      <c r="M95" s="17">
        <v>85</v>
      </c>
      <c r="N95" s="17">
        <v>99</v>
      </c>
      <c r="O95" s="17">
        <v>329</v>
      </c>
      <c r="P95" s="11" t="s">
        <v>71</v>
      </c>
      <c r="Q95" s="11"/>
      <c r="R95" s="11"/>
      <c r="S95" s="36">
        <v>263</v>
      </c>
      <c r="AH95" s="13">
        <v>40549</v>
      </c>
      <c r="AI95" s="14" t="str">
        <f t="shared" si="3"/>
        <v>SUNSHINE</v>
      </c>
      <c r="AJ95" s="14" t="s">
        <v>9</v>
      </c>
      <c r="AK95" s="15">
        <v>1026</v>
      </c>
      <c r="AL95" s="14" t="s">
        <v>63</v>
      </c>
      <c r="AM95" s="14" t="s">
        <v>15</v>
      </c>
      <c r="AN95" s="14" t="str">
        <f t="shared" si="4"/>
        <v>Psa</v>
      </c>
      <c r="AO95" s="16">
        <v>54</v>
      </c>
      <c r="AP95" s="15">
        <v>1026</v>
      </c>
      <c r="AQ95" s="16">
        <v>432</v>
      </c>
      <c r="AR95" s="17">
        <v>97</v>
      </c>
      <c r="AS95" s="17">
        <v>67</v>
      </c>
      <c r="AT95" s="17">
        <v>77</v>
      </c>
      <c r="AU95" s="17">
        <v>91</v>
      </c>
      <c r="AV95" s="17">
        <v>332</v>
      </c>
      <c r="AW95" s="11" t="s">
        <v>65</v>
      </c>
      <c r="BA95" s="14" t="s">
        <v>44</v>
      </c>
      <c r="BB95" s="16">
        <f t="shared" si="5"/>
        <v>3</v>
      </c>
    </row>
    <row r="96" spans="1:54" ht="14.25" customHeight="1" thickBot="1">
      <c r="A96" s="13">
        <v>40571</v>
      </c>
      <c r="B96" s="14" t="s">
        <v>16</v>
      </c>
      <c r="C96" s="14" t="s">
        <v>26</v>
      </c>
      <c r="D96" s="16">
        <v>550</v>
      </c>
      <c r="E96" s="14" t="s">
        <v>83</v>
      </c>
      <c r="F96" s="14" t="s">
        <v>13</v>
      </c>
      <c r="G96" s="14" t="s">
        <v>45</v>
      </c>
      <c r="H96" s="16">
        <v>25</v>
      </c>
      <c r="I96" s="16">
        <v>550</v>
      </c>
      <c r="J96" s="16">
        <v>250</v>
      </c>
      <c r="K96" s="17">
        <v>98</v>
      </c>
      <c r="L96" s="17">
        <v>75</v>
      </c>
      <c r="M96" s="17">
        <v>69</v>
      </c>
      <c r="N96" s="17">
        <v>80</v>
      </c>
      <c r="O96" s="17">
        <v>322</v>
      </c>
      <c r="P96" s="11" t="s">
        <v>71</v>
      </c>
      <c r="Q96" s="11"/>
      <c r="R96" s="11"/>
      <c r="S96" s="36">
        <v>264</v>
      </c>
      <c r="AH96" s="13">
        <v>40556</v>
      </c>
      <c r="AI96" s="14" t="str">
        <f t="shared" si="3"/>
        <v>SUNSHINE</v>
      </c>
      <c r="AJ96" s="14" t="s">
        <v>22</v>
      </c>
      <c r="AK96" s="16">
        <v>627</v>
      </c>
      <c r="AL96" s="14" t="s">
        <v>83</v>
      </c>
      <c r="AM96" s="14" t="s">
        <v>10</v>
      </c>
      <c r="AN96" s="14" t="str">
        <f t="shared" si="4"/>
        <v>Psa</v>
      </c>
      <c r="AO96" s="16">
        <v>33</v>
      </c>
      <c r="AP96" s="16">
        <v>627</v>
      </c>
      <c r="AQ96" s="16">
        <v>264</v>
      </c>
      <c r="AR96" s="17">
        <v>91</v>
      </c>
      <c r="AS96" s="17">
        <v>62</v>
      </c>
      <c r="AT96" s="17">
        <v>90</v>
      </c>
      <c r="AU96" s="17">
        <v>61</v>
      </c>
      <c r="AV96" s="17">
        <v>304</v>
      </c>
      <c r="AW96" s="11" t="s">
        <v>65</v>
      </c>
      <c r="BA96" s="14" t="s">
        <v>44</v>
      </c>
      <c r="BB96" s="16">
        <f t="shared" si="5"/>
        <v>3</v>
      </c>
    </row>
    <row r="97" spans="1:54" ht="14.25" customHeight="1" thickBot="1">
      <c r="A97" s="13">
        <v>40616</v>
      </c>
      <c r="B97" s="14" t="s">
        <v>16</v>
      </c>
      <c r="C97" s="14" t="s">
        <v>26</v>
      </c>
      <c r="D97" s="16">
        <v>550</v>
      </c>
      <c r="E97" s="14" t="s">
        <v>83</v>
      </c>
      <c r="F97" s="14" t="s">
        <v>13</v>
      </c>
      <c r="G97" s="14" t="s">
        <v>45</v>
      </c>
      <c r="H97" s="16">
        <v>25</v>
      </c>
      <c r="I97" s="16">
        <v>550</v>
      </c>
      <c r="J97" s="16">
        <v>250</v>
      </c>
      <c r="K97" s="17">
        <v>92</v>
      </c>
      <c r="L97" s="17">
        <v>86</v>
      </c>
      <c r="M97" s="17">
        <v>71</v>
      </c>
      <c r="N97" s="17">
        <v>94</v>
      </c>
      <c r="O97" s="17">
        <v>343</v>
      </c>
      <c r="P97" s="11" t="s">
        <v>65</v>
      </c>
      <c r="Q97" s="11"/>
      <c r="R97" s="11"/>
      <c r="S97" s="36">
        <v>271</v>
      </c>
      <c r="AH97" s="13">
        <v>40552</v>
      </c>
      <c r="AI97" s="14" t="str">
        <f t="shared" si="3"/>
        <v>BELLEN</v>
      </c>
      <c r="AJ97" s="14" t="s">
        <v>26</v>
      </c>
      <c r="AK97" s="16">
        <v>330</v>
      </c>
      <c r="AL97" s="14" t="s">
        <v>83</v>
      </c>
      <c r="AM97" s="14" t="s">
        <v>13</v>
      </c>
      <c r="AN97" s="14" t="str">
        <f t="shared" si="4"/>
        <v>Qt</v>
      </c>
      <c r="AO97" s="16">
        <v>15</v>
      </c>
      <c r="AP97" s="16">
        <v>330</v>
      </c>
      <c r="AQ97" s="16">
        <v>150</v>
      </c>
      <c r="AR97" s="17">
        <v>85</v>
      </c>
      <c r="AS97" s="17">
        <v>60</v>
      </c>
      <c r="AT97" s="17">
        <v>85</v>
      </c>
      <c r="AU97" s="17">
        <v>99</v>
      </c>
      <c r="AV97" s="17">
        <v>329</v>
      </c>
      <c r="AW97" s="11" t="s">
        <v>71</v>
      </c>
      <c r="BA97" s="14" t="s">
        <v>44</v>
      </c>
      <c r="BB97" s="16">
        <f t="shared" si="5"/>
        <v>3</v>
      </c>
    </row>
    <row r="98" spans="1:54" ht="14.25" customHeight="1" thickBot="1">
      <c r="A98" s="13">
        <v>40559</v>
      </c>
      <c r="B98" s="14" t="s">
        <v>8</v>
      </c>
      <c r="C98" s="14" t="s">
        <v>26</v>
      </c>
      <c r="D98" s="16">
        <v>713</v>
      </c>
      <c r="E98" s="14" t="s">
        <v>83</v>
      </c>
      <c r="F98" s="14" t="s">
        <v>24</v>
      </c>
      <c r="G98" s="14" t="s">
        <v>45</v>
      </c>
      <c r="H98" s="16">
        <v>31</v>
      </c>
      <c r="I98" s="16">
        <v>713</v>
      </c>
      <c r="J98" s="16">
        <v>341</v>
      </c>
      <c r="K98" s="17">
        <v>73</v>
      </c>
      <c r="L98" s="17">
        <v>87</v>
      </c>
      <c r="M98" s="17">
        <v>89</v>
      </c>
      <c r="N98" s="17">
        <v>76</v>
      </c>
      <c r="O98" s="17">
        <v>325</v>
      </c>
      <c r="P98" s="11" t="s">
        <v>71</v>
      </c>
      <c r="Q98" s="11"/>
      <c r="R98" s="11"/>
      <c r="S98" s="36">
        <v>275</v>
      </c>
      <c r="AH98" s="13">
        <v>40571</v>
      </c>
      <c r="AI98" s="14" t="str">
        <f t="shared" si="3"/>
        <v>BELLEN</v>
      </c>
      <c r="AJ98" s="14" t="s">
        <v>26</v>
      </c>
      <c r="AK98" s="16">
        <v>550</v>
      </c>
      <c r="AL98" s="14" t="s">
        <v>83</v>
      </c>
      <c r="AM98" s="14" t="s">
        <v>13</v>
      </c>
      <c r="AN98" s="14" t="str">
        <f t="shared" si="4"/>
        <v>Qt</v>
      </c>
      <c r="AO98" s="16">
        <v>25</v>
      </c>
      <c r="AP98" s="16">
        <v>550</v>
      </c>
      <c r="AQ98" s="16">
        <v>250</v>
      </c>
      <c r="AR98" s="17">
        <v>98</v>
      </c>
      <c r="AS98" s="17">
        <v>75</v>
      </c>
      <c r="AT98" s="17">
        <v>69</v>
      </c>
      <c r="AU98" s="17">
        <v>80</v>
      </c>
      <c r="AV98" s="17">
        <v>322</v>
      </c>
      <c r="AW98" s="11" t="s">
        <v>71</v>
      </c>
      <c r="BA98" s="14" t="s">
        <v>44</v>
      </c>
      <c r="BB98" s="16">
        <f t="shared" si="5"/>
        <v>3</v>
      </c>
    </row>
    <row r="99" spans="1:54" ht="14.25" customHeight="1" thickBot="1">
      <c r="A99" s="13">
        <v>40570</v>
      </c>
      <c r="B99" s="14" t="s">
        <v>8</v>
      </c>
      <c r="C99" s="14" t="s">
        <v>19</v>
      </c>
      <c r="D99" s="16">
        <v>230</v>
      </c>
      <c r="E99" s="14" t="s">
        <v>63</v>
      </c>
      <c r="F99" s="14" t="s">
        <v>21</v>
      </c>
      <c r="G99" s="14" t="s">
        <v>45</v>
      </c>
      <c r="H99" s="16">
        <v>10</v>
      </c>
      <c r="I99" s="16">
        <v>230</v>
      </c>
      <c r="J99" s="16">
        <v>110</v>
      </c>
      <c r="K99" s="17">
        <v>72</v>
      </c>
      <c r="L99" s="17">
        <v>85</v>
      </c>
      <c r="M99" s="17">
        <v>77</v>
      </c>
      <c r="N99" s="17">
        <v>63</v>
      </c>
      <c r="O99" s="17">
        <v>297</v>
      </c>
      <c r="P99" s="11" t="s">
        <v>65</v>
      </c>
      <c r="Q99" s="11"/>
      <c r="R99" s="11"/>
      <c r="S99" s="36">
        <v>276</v>
      </c>
      <c r="AH99" s="13">
        <v>40616</v>
      </c>
      <c r="AI99" s="14" t="str">
        <f t="shared" si="3"/>
        <v>BELLEN</v>
      </c>
      <c r="AJ99" s="14" t="s">
        <v>26</v>
      </c>
      <c r="AK99" s="16">
        <v>550</v>
      </c>
      <c r="AL99" s="14" t="s">
        <v>83</v>
      </c>
      <c r="AM99" s="14" t="s">
        <v>13</v>
      </c>
      <c r="AN99" s="14" t="str">
        <f t="shared" si="4"/>
        <v>Qt</v>
      </c>
      <c r="AO99" s="16">
        <v>25</v>
      </c>
      <c r="AP99" s="16">
        <v>550</v>
      </c>
      <c r="AQ99" s="16">
        <v>250</v>
      </c>
      <c r="AR99" s="17">
        <v>92</v>
      </c>
      <c r="AS99" s="17">
        <v>86</v>
      </c>
      <c r="AT99" s="17">
        <v>71</v>
      </c>
      <c r="AU99" s="17">
        <v>94</v>
      </c>
      <c r="AV99" s="17">
        <v>343</v>
      </c>
      <c r="AW99" s="11" t="s">
        <v>65</v>
      </c>
      <c r="BA99" s="14" t="s">
        <v>44</v>
      </c>
      <c r="BB99" s="16">
        <f t="shared" si="5"/>
        <v>3</v>
      </c>
    </row>
    <row r="100" spans="1:54" ht="14.25" customHeight="1" thickBot="1">
      <c r="A100" s="13">
        <v>40564</v>
      </c>
      <c r="B100" s="14" t="s">
        <v>14</v>
      </c>
      <c r="C100" s="14" t="s">
        <v>22</v>
      </c>
      <c r="D100" s="15">
        <v>1216</v>
      </c>
      <c r="E100" s="14" t="s">
        <v>83</v>
      </c>
      <c r="F100" s="14" t="s">
        <v>24</v>
      </c>
      <c r="G100" s="14" t="s">
        <v>45</v>
      </c>
      <c r="H100" s="16">
        <v>64</v>
      </c>
      <c r="I100" s="15">
        <v>1216</v>
      </c>
      <c r="J100" s="16">
        <v>512</v>
      </c>
      <c r="K100" s="17">
        <v>76</v>
      </c>
      <c r="L100" s="17">
        <v>89</v>
      </c>
      <c r="M100" s="17">
        <v>71</v>
      </c>
      <c r="N100" s="17">
        <v>93</v>
      </c>
      <c r="O100" s="17">
        <v>329</v>
      </c>
      <c r="P100" s="11" t="s">
        <v>65</v>
      </c>
      <c r="Q100" s="11"/>
      <c r="R100" s="11"/>
      <c r="S100" s="36">
        <v>278</v>
      </c>
      <c r="AH100" s="13">
        <v>40559</v>
      </c>
      <c r="AI100" s="14" t="str">
        <f t="shared" si="3"/>
        <v>CARLOTA</v>
      </c>
      <c r="AJ100" s="14" t="s">
        <v>26</v>
      </c>
      <c r="AK100" s="16">
        <v>713</v>
      </c>
      <c r="AL100" s="14" t="s">
        <v>83</v>
      </c>
      <c r="AM100" s="14" t="s">
        <v>24</v>
      </c>
      <c r="AN100" s="14" t="str">
        <f t="shared" si="4"/>
        <v>Qt</v>
      </c>
      <c r="AO100" s="16">
        <v>31</v>
      </c>
      <c r="AP100" s="16">
        <v>713</v>
      </c>
      <c r="AQ100" s="16">
        <v>341</v>
      </c>
      <c r="AR100" s="17">
        <v>73</v>
      </c>
      <c r="AS100" s="17">
        <v>87</v>
      </c>
      <c r="AT100" s="17">
        <v>89</v>
      </c>
      <c r="AU100" s="17">
        <v>76</v>
      </c>
      <c r="AV100" s="17">
        <v>325</v>
      </c>
      <c r="AW100" s="11" t="s">
        <v>71</v>
      </c>
      <c r="BA100" s="14" t="s">
        <v>44</v>
      </c>
      <c r="BB100" s="16">
        <f t="shared" si="5"/>
        <v>3</v>
      </c>
    </row>
    <row r="101" spans="1:54" ht="14.25" customHeight="1" thickBot="1">
      <c r="A101" s="13">
        <v>40549</v>
      </c>
      <c r="B101" s="14" t="s">
        <v>14</v>
      </c>
      <c r="C101" s="14" t="s">
        <v>26</v>
      </c>
      <c r="D101" s="16">
        <v>760</v>
      </c>
      <c r="E101" s="14" t="s">
        <v>83</v>
      </c>
      <c r="F101" s="14" t="s">
        <v>24</v>
      </c>
      <c r="G101" s="14" t="s">
        <v>45</v>
      </c>
      <c r="H101" s="16">
        <v>40</v>
      </c>
      <c r="I101" s="16">
        <v>760</v>
      </c>
      <c r="J101" s="16">
        <v>320</v>
      </c>
      <c r="K101" s="17">
        <v>90</v>
      </c>
      <c r="L101" s="17">
        <v>73</v>
      </c>
      <c r="M101" s="17">
        <v>85</v>
      </c>
      <c r="N101" s="17">
        <v>70</v>
      </c>
      <c r="O101" s="17">
        <v>318</v>
      </c>
      <c r="P101" s="11" t="s">
        <v>65</v>
      </c>
      <c r="Q101" s="11"/>
      <c r="R101" s="11"/>
      <c r="S101" s="36">
        <v>281</v>
      </c>
      <c r="AH101" s="13">
        <v>40570</v>
      </c>
      <c r="AI101" s="14" t="str">
        <f t="shared" si="3"/>
        <v>CARLOTA</v>
      </c>
      <c r="AJ101" s="14" t="s">
        <v>19</v>
      </c>
      <c r="AK101" s="16">
        <v>230</v>
      </c>
      <c r="AL101" s="14" t="s">
        <v>63</v>
      </c>
      <c r="AM101" s="14" t="s">
        <v>21</v>
      </c>
      <c r="AN101" s="14" t="str">
        <f t="shared" si="4"/>
        <v>Qt</v>
      </c>
      <c r="AO101" s="16">
        <v>10</v>
      </c>
      <c r="AP101" s="16">
        <v>230</v>
      </c>
      <c r="AQ101" s="16">
        <v>110</v>
      </c>
      <c r="AR101" s="17">
        <v>72</v>
      </c>
      <c r="AS101" s="17">
        <v>85</v>
      </c>
      <c r="AT101" s="17">
        <v>77</v>
      </c>
      <c r="AU101" s="17">
        <v>63</v>
      </c>
      <c r="AV101" s="17">
        <v>297</v>
      </c>
      <c r="AW101" s="11" t="s">
        <v>65</v>
      </c>
      <c r="BA101" s="14" t="s">
        <v>45</v>
      </c>
      <c r="BB101" s="16">
        <f t="shared" si="5"/>
        <v>2</v>
      </c>
    </row>
    <row r="102" spans="1:54" ht="14.25" customHeight="1" thickBot="1">
      <c r="A102" s="13">
        <v>40575</v>
      </c>
      <c r="B102" s="14" t="s">
        <v>16</v>
      </c>
      <c r="C102" s="14" t="s">
        <v>19</v>
      </c>
      <c r="D102" s="16">
        <v>418</v>
      </c>
      <c r="E102" s="14" t="s">
        <v>63</v>
      </c>
      <c r="F102" s="14" t="s">
        <v>10</v>
      </c>
      <c r="G102" s="14" t="s">
        <v>46</v>
      </c>
      <c r="H102" s="16">
        <v>19</v>
      </c>
      <c r="I102" s="16">
        <v>418</v>
      </c>
      <c r="J102" s="16">
        <v>190</v>
      </c>
      <c r="K102" s="17">
        <v>91</v>
      </c>
      <c r="L102" s="17">
        <v>89</v>
      </c>
      <c r="M102" s="17">
        <v>79</v>
      </c>
      <c r="N102" s="17">
        <v>97</v>
      </c>
      <c r="O102" s="17">
        <v>356</v>
      </c>
      <c r="P102" s="11" t="s">
        <v>71</v>
      </c>
      <c r="Q102" s="11"/>
      <c r="R102" s="11"/>
      <c r="S102" s="36">
        <v>282</v>
      </c>
      <c r="AH102" s="13">
        <v>40564</v>
      </c>
      <c r="AI102" s="14" t="str">
        <f t="shared" si="3"/>
        <v>SUNSHINE</v>
      </c>
      <c r="AJ102" s="14" t="s">
        <v>22</v>
      </c>
      <c r="AK102" s="15">
        <v>1216</v>
      </c>
      <c r="AL102" s="14" t="s">
        <v>83</v>
      </c>
      <c r="AM102" s="14" t="s">
        <v>24</v>
      </c>
      <c r="AN102" s="14" t="str">
        <f t="shared" si="4"/>
        <v>Qt</v>
      </c>
      <c r="AO102" s="16">
        <v>64</v>
      </c>
      <c r="AP102" s="15">
        <v>1216</v>
      </c>
      <c r="AQ102" s="16">
        <v>512</v>
      </c>
      <c r="AR102" s="17">
        <v>76</v>
      </c>
      <c r="AS102" s="17">
        <v>89</v>
      </c>
      <c r="AT102" s="17">
        <v>71</v>
      </c>
      <c r="AU102" s="17">
        <v>93</v>
      </c>
      <c r="AV102" s="17">
        <v>329</v>
      </c>
      <c r="AW102" s="11" t="s">
        <v>65</v>
      </c>
      <c r="BA102" s="14" t="s">
        <v>45</v>
      </c>
      <c r="BB102" s="16">
        <f t="shared" si="5"/>
        <v>2</v>
      </c>
    </row>
    <row r="103" spans="1:54" ht="14.25" customHeight="1" thickBot="1">
      <c r="A103" s="13">
        <v>40560</v>
      </c>
      <c r="B103" s="14" t="s">
        <v>12</v>
      </c>
      <c r="C103" s="14" t="s">
        <v>9</v>
      </c>
      <c r="D103" s="15">
        <v>1161</v>
      </c>
      <c r="E103" s="14" t="s">
        <v>63</v>
      </c>
      <c r="F103" s="14" t="s">
        <v>21</v>
      </c>
      <c r="G103" s="14" t="s">
        <v>46</v>
      </c>
      <c r="H103" s="16">
        <v>43</v>
      </c>
      <c r="I103" s="15">
        <v>1161</v>
      </c>
      <c r="J103" s="16">
        <v>624</v>
      </c>
      <c r="K103" s="17">
        <v>79</v>
      </c>
      <c r="L103" s="17">
        <v>66</v>
      </c>
      <c r="M103" s="17">
        <v>84</v>
      </c>
      <c r="N103" s="17">
        <v>62</v>
      </c>
      <c r="O103" s="17">
        <v>291</v>
      </c>
      <c r="P103" s="11" t="s">
        <v>71</v>
      </c>
      <c r="Q103" s="11"/>
      <c r="R103" s="11"/>
      <c r="S103" s="36">
        <v>283</v>
      </c>
      <c r="AH103" s="13">
        <v>40549</v>
      </c>
      <c r="AI103" s="14" t="str">
        <f t="shared" si="3"/>
        <v>SUNSHINE</v>
      </c>
      <c r="AJ103" s="14" t="s">
        <v>26</v>
      </c>
      <c r="AK103" s="16">
        <v>760</v>
      </c>
      <c r="AL103" s="14" t="s">
        <v>83</v>
      </c>
      <c r="AM103" s="14" t="s">
        <v>24</v>
      </c>
      <c r="AN103" s="14" t="str">
        <f t="shared" si="4"/>
        <v>Qt</v>
      </c>
      <c r="AO103" s="16">
        <v>40</v>
      </c>
      <c r="AP103" s="16">
        <v>760</v>
      </c>
      <c r="AQ103" s="16">
        <v>320</v>
      </c>
      <c r="AR103" s="17">
        <v>90</v>
      </c>
      <c r="AS103" s="17">
        <v>73</v>
      </c>
      <c r="AT103" s="17">
        <v>85</v>
      </c>
      <c r="AU103" s="17">
        <v>70</v>
      </c>
      <c r="AV103" s="17">
        <v>318</v>
      </c>
      <c r="AW103" s="11" t="s">
        <v>65</v>
      </c>
      <c r="BA103" s="14" t="s">
        <v>45</v>
      </c>
      <c r="BB103" s="16">
        <f t="shared" si="5"/>
        <v>2</v>
      </c>
    </row>
    <row r="104" spans="1:54" ht="14.25" customHeight="1" thickBot="1">
      <c r="A104" s="13">
        <v>40590</v>
      </c>
      <c r="B104" s="14" t="s">
        <v>12</v>
      </c>
      <c r="C104" s="14" t="s">
        <v>9</v>
      </c>
      <c r="D104" s="15">
        <v>1161</v>
      </c>
      <c r="E104" s="14" t="s">
        <v>63</v>
      </c>
      <c r="F104" s="14" t="s">
        <v>21</v>
      </c>
      <c r="G104" s="14" t="s">
        <v>46</v>
      </c>
      <c r="H104" s="16">
        <v>43</v>
      </c>
      <c r="I104" s="15">
        <v>1161</v>
      </c>
      <c r="J104" s="16">
        <v>624</v>
      </c>
      <c r="K104" s="17">
        <v>60</v>
      </c>
      <c r="L104" s="17">
        <v>96</v>
      </c>
      <c r="M104" s="17">
        <v>93</v>
      </c>
      <c r="N104" s="17">
        <v>66</v>
      </c>
      <c r="O104" s="17">
        <v>315</v>
      </c>
      <c r="P104" s="11" t="s">
        <v>65</v>
      </c>
      <c r="Q104" s="11"/>
      <c r="R104" s="11"/>
      <c r="S104" s="36">
        <v>284</v>
      </c>
      <c r="AH104" s="13">
        <v>40575</v>
      </c>
      <c r="AI104" s="14" t="str">
        <f t="shared" si="3"/>
        <v>BELLEN</v>
      </c>
      <c r="AJ104" s="14" t="s">
        <v>19</v>
      </c>
      <c r="AK104" s="16">
        <v>418</v>
      </c>
      <c r="AL104" s="14" t="s">
        <v>63</v>
      </c>
      <c r="AM104" s="14" t="s">
        <v>10</v>
      </c>
      <c r="AN104" s="14" t="str">
        <f t="shared" si="4"/>
        <v>Sfwk</v>
      </c>
      <c r="AO104" s="16">
        <v>19</v>
      </c>
      <c r="AP104" s="16">
        <v>418</v>
      </c>
      <c r="AQ104" s="16">
        <v>190</v>
      </c>
      <c r="AR104" s="17">
        <v>91</v>
      </c>
      <c r="AS104" s="17">
        <v>89</v>
      </c>
      <c r="AT104" s="17">
        <v>79</v>
      </c>
      <c r="AU104" s="17">
        <v>97</v>
      </c>
      <c r="AV104" s="17">
        <v>356</v>
      </c>
      <c r="AW104" s="11" t="s">
        <v>71</v>
      </c>
      <c r="BA104" s="14" t="s">
        <v>45</v>
      </c>
      <c r="BB104" s="16">
        <f t="shared" si="5"/>
        <v>2</v>
      </c>
    </row>
    <row r="105" spans="1:54" ht="14.25" customHeight="1" thickBot="1">
      <c r="A105" s="13">
        <v>40562</v>
      </c>
      <c r="B105" s="14" t="s">
        <v>16</v>
      </c>
      <c r="C105" s="14" t="s">
        <v>26</v>
      </c>
      <c r="D105" s="16">
        <v>770</v>
      </c>
      <c r="E105" s="14" t="s">
        <v>83</v>
      </c>
      <c r="F105" s="14" t="s">
        <v>13</v>
      </c>
      <c r="G105" s="14" t="s">
        <v>47</v>
      </c>
      <c r="H105" s="16">
        <v>35</v>
      </c>
      <c r="I105" s="16">
        <v>770</v>
      </c>
      <c r="J105" s="16">
        <v>350</v>
      </c>
      <c r="K105" s="17">
        <v>87</v>
      </c>
      <c r="L105" s="17">
        <v>77</v>
      </c>
      <c r="M105" s="17">
        <v>60</v>
      </c>
      <c r="N105" s="17">
        <v>83</v>
      </c>
      <c r="O105" s="17">
        <v>307</v>
      </c>
      <c r="P105" s="11" t="s">
        <v>71</v>
      </c>
      <c r="Q105" s="11"/>
      <c r="R105" s="11"/>
      <c r="S105" s="36">
        <v>285</v>
      </c>
      <c r="AH105" s="13">
        <v>40560</v>
      </c>
      <c r="AI105" s="14" t="str">
        <f t="shared" si="3"/>
        <v>QUAD</v>
      </c>
      <c r="AJ105" s="14" t="s">
        <v>9</v>
      </c>
      <c r="AK105" s="15">
        <v>1161</v>
      </c>
      <c r="AL105" s="14" t="s">
        <v>63</v>
      </c>
      <c r="AM105" s="14" t="s">
        <v>21</v>
      </c>
      <c r="AN105" s="14" t="str">
        <f t="shared" si="4"/>
        <v>Sfwk</v>
      </c>
      <c r="AO105" s="16">
        <v>43</v>
      </c>
      <c r="AP105" s="15">
        <v>1161</v>
      </c>
      <c r="AQ105" s="16">
        <v>624</v>
      </c>
      <c r="AR105" s="17">
        <v>79</v>
      </c>
      <c r="AS105" s="17">
        <v>66</v>
      </c>
      <c r="AT105" s="17">
        <v>84</v>
      </c>
      <c r="AU105" s="17">
        <v>62</v>
      </c>
      <c r="AV105" s="17">
        <v>291</v>
      </c>
      <c r="AW105" s="11" t="s">
        <v>71</v>
      </c>
      <c r="BA105" s="14" t="s">
        <v>45</v>
      </c>
      <c r="BB105" s="16">
        <f t="shared" si="5"/>
        <v>2</v>
      </c>
    </row>
    <row r="106" spans="1:54" ht="14.25" customHeight="1" thickBot="1">
      <c r="A106" s="13">
        <v>40550</v>
      </c>
      <c r="B106" s="14" t="s">
        <v>16</v>
      </c>
      <c r="C106" s="14" t="s">
        <v>19</v>
      </c>
      <c r="D106" s="16">
        <v>594</v>
      </c>
      <c r="E106" s="14" t="s">
        <v>63</v>
      </c>
      <c r="F106" s="14" t="s">
        <v>24</v>
      </c>
      <c r="G106" s="14" t="s">
        <v>47</v>
      </c>
      <c r="H106" s="16">
        <v>27</v>
      </c>
      <c r="I106" s="16">
        <v>594</v>
      </c>
      <c r="J106" s="16">
        <v>270</v>
      </c>
      <c r="K106" s="17">
        <v>81</v>
      </c>
      <c r="L106" s="17">
        <v>78</v>
      </c>
      <c r="M106" s="17">
        <v>89</v>
      </c>
      <c r="N106" s="17">
        <v>67</v>
      </c>
      <c r="O106" s="17">
        <v>315</v>
      </c>
      <c r="P106" s="11" t="s">
        <v>65</v>
      </c>
      <c r="Q106" s="11"/>
      <c r="R106" s="11"/>
      <c r="S106" s="36">
        <v>287</v>
      </c>
      <c r="AH106" s="13">
        <v>40590</v>
      </c>
      <c r="AI106" s="14" t="str">
        <f t="shared" si="3"/>
        <v>QUAD</v>
      </c>
      <c r="AJ106" s="14" t="s">
        <v>9</v>
      </c>
      <c r="AK106" s="15">
        <v>1161</v>
      </c>
      <c r="AL106" s="14" t="s">
        <v>63</v>
      </c>
      <c r="AM106" s="14" t="s">
        <v>21</v>
      </c>
      <c r="AN106" s="14" t="str">
        <f t="shared" si="4"/>
        <v>Sfwk</v>
      </c>
      <c r="AO106" s="16">
        <v>43</v>
      </c>
      <c r="AP106" s="15">
        <v>1161</v>
      </c>
      <c r="AQ106" s="16">
        <v>624</v>
      </c>
      <c r="AR106" s="17">
        <v>60</v>
      </c>
      <c r="AS106" s="17">
        <v>96</v>
      </c>
      <c r="AT106" s="17">
        <v>93</v>
      </c>
      <c r="AU106" s="17">
        <v>66</v>
      </c>
      <c r="AV106" s="17">
        <v>315</v>
      </c>
      <c r="AW106" s="11" t="s">
        <v>65</v>
      </c>
      <c r="BA106" s="14" t="s">
        <v>45</v>
      </c>
      <c r="BB106" s="16">
        <f t="shared" si="5"/>
        <v>2</v>
      </c>
    </row>
    <row r="107" spans="1:54" ht="14.25" customHeight="1" thickBot="1">
      <c r="A107" s="13">
        <v>40550</v>
      </c>
      <c r="B107" s="14" t="s">
        <v>20</v>
      </c>
      <c r="C107" s="14" t="s">
        <v>19</v>
      </c>
      <c r="D107" s="15">
        <v>1281</v>
      </c>
      <c r="E107" s="14" t="s">
        <v>63</v>
      </c>
      <c r="F107" s="14" t="s">
        <v>10</v>
      </c>
      <c r="G107" s="14" t="s">
        <v>47</v>
      </c>
      <c r="H107" s="16">
        <v>61</v>
      </c>
      <c r="I107" s="15">
        <v>1281</v>
      </c>
      <c r="J107" s="16">
        <v>564</v>
      </c>
      <c r="K107" s="17">
        <v>80</v>
      </c>
      <c r="L107" s="17">
        <v>64</v>
      </c>
      <c r="M107" s="17">
        <v>68</v>
      </c>
      <c r="N107" s="17">
        <v>69</v>
      </c>
      <c r="O107" s="17">
        <v>281</v>
      </c>
      <c r="P107" s="11" t="s">
        <v>71</v>
      </c>
      <c r="Q107" s="11"/>
      <c r="R107" s="11"/>
      <c r="S107" s="36">
        <v>289</v>
      </c>
      <c r="AH107" s="13">
        <v>40562</v>
      </c>
      <c r="AI107" s="14" t="str">
        <f t="shared" si="3"/>
        <v>BELLEN</v>
      </c>
      <c r="AJ107" s="14" t="s">
        <v>26</v>
      </c>
      <c r="AK107" s="16">
        <v>770</v>
      </c>
      <c r="AL107" s="14" t="s">
        <v>83</v>
      </c>
      <c r="AM107" s="14" t="s">
        <v>13</v>
      </c>
      <c r="AN107" s="14" t="str">
        <f t="shared" si="4"/>
        <v>T</v>
      </c>
      <c r="AO107" s="16">
        <v>35</v>
      </c>
      <c r="AP107" s="16">
        <v>770</v>
      </c>
      <c r="AQ107" s="16">
        <v>350</v>
      </c>
      <c r="AR107" s="17">
        <v>87</v>
      </c>
      <c r="AS107" s="17">
        <v>77</v>
      </c>
      <c r="AT107" s="17">
        <v>60</v>
      </c>
      <c r="AU107" s="17">
        <v>83</v>
      </c>
      <c r="AV107" s="17">
        <v>307</v>
      </c>
      <c r="AW107" s="11" t="s">
        <v>71</v>
      </c>
      <c r="BA107" s="14" t="s">
        <v>45</v>
      </c>
      <c r="BB107" s="16">
        <f t="shared" si="5"/>
        <v>2</v>
      </c>
    </row>
    <row r="108" spans="1:54" ht="14.25" customHeight="1" thickBot="1">
      <c r="A108" s="13">
        <v>40580</v>
      </c>
      <c r="B108" s="14" t="s">
        <v>20</v>
      </c>
      <c r="C108" s="14" t="s">
        <v>19</v>
      </c>
      <c r="D108" s="15">
        <v>1281</v>
      </c>
      <c r="E108" s="14" t="s">
        <v>63</v>
      </c>
      <c r="F108" s="14" t="s">
        <v>10</v>
      </c>
      <c r="G108" s="14" t="s">
        <v>47</v>
      </c>
      <c r="H108" s="16">
        <v>61</v>
      </c>
      <c r="I108" s="15">
        <v>1281</v>
      </c>
      <c r="J108" s="16">
        <v>564</v>
      </c>
      <c r="K108" s="17">
        <v>69</v>
      </c>
      <c r="L108" s="17">
        <v>86</v>
      </c>
      <c r="M108" s="17">
        <v>99</v>
      </c>
      <c r="N108" s="17">
        <v>65</v>
      </c>
      <c r="O108" s="17">
        <v>319</v>
      </c>
      <c r="P108" s="11" t="s">
        <v>71</v>
      </c>
      <c r="Q108" s="11"/>
      <c r="R108" s="11"/>
      <c r="S108" s="36">
        <v>291</v>
      </c>
      <c r="AH108" s="13">
        <v>40550</v>
      </c>
      <c r="AI108" s="14" t="str">
        <f t="shared" si="3"/>
        <v>BELLEN</v>
      </c>
      <c r="AJ108" s="14" t="s">
        <v>19</v>
      </c>
      <c r="AK108" s="16">
        <v>594</v>
      </c>
      <c r="AL108" s="14" t="s">
        <v>63</v>
      </c>
      <c r="AM108" s="14" t="s">
        <v>24</v>
      </c>
      <c r="AN108" s="14" t="str">
        <f t="shared" si="4"/>
        <v>T</v>
      </c>
      <c r="AO108" s="16">
        <v>27</v>
      </c>
      <c r="AP108" s="16">
        <v>594</v>
      </c>
      <c r="AQ108" s="16">
        <v>270</v>
      </c>
      <c r="AR108" s="17">
        <v>81</v>
      </c>
      <c r="AS108" s="17">
        <v>78</v>
      </c>
      <c r="AT108" s="17">
        <v>89</v>
      </c>
      <c r="AU108" s="17">
        <v>67</v>
      </c>
      <c r="AV108" s="17">
        <v>315</v>
      </c>
      <c r="AW108" s="11" t="s">
        <v>65</v>
      </c>
      <c r="BA108" s="14" t="s">
        <v>46</v>
      </c>
      <c r="BB108" s="16">
        <f t="shared" si="5"/>
        <v>4</v>
      </c>
    </row>
    <row r="109" spans="1:54" ht="14.25" customHeight="1" thickBot="1">
      <c r="A109" s="13">
        <v>40566</v>
      </c>
      <c r="B109" s="14" t="s">
        <v>14</v>
      </c>
      <c r="C109" s="14" t="s">
        <v>26</v>
      </c>
      <c r="D109" s="16">
        <v>931</v>
      </c>
      <c r="E109" s="14" t="s">
        <v>83</v>
      </c>
      <c r="F109" s="14" t="s">
        <v>17</v>
      </c>
      <c r="G109" s="14" t="s">
        <v>47</v>
      </c>
      <c r="H109" s="16">
        <v>49</v>
      </c>
      <c r="I109" s="16">
        <v>931</v>
      </c>
      <c r="J109" s="16">
        <v>392</v>
      </c>
      <c r="K109" s="17">
        <v>98</v>
      </c>
      <c r="L109" s="17">
        <v>61</v>
      </c>
      <c r="M109" s="17">
        <v>81</v>
      </c>
      <c r="N109" s="17">
        <v>61</v>
      </c>
      <c r="O109" s="17">
        <v>301</v>
      </c>
      <c r="P109" s="11" t="s">
        <v>71</v>
      </c>
      <c r="Q109" s="11"/>
      <c r="R109" s="11"/>
      <c r="S109" s="36">
        <v>292</v>
      </c>
      <c r="AH109" s="13">
        <v>40550</v>
      </c>
      <c r="AI109" s="14" t="str">
        <f t="shared" si="3"/>
        <v>SUNSET</v>
      </c>
      <c r="AJ109" s="14" t="s">
        <v>19</v>
      </c>
      <c r="AK109" s="15">
        <v>1281</v>
      </c>
      <c r="AL109" s="14" t="s">
        <v>63</v>
      </c>
      <c r="AM109" s="14" t="s">
        <v>10</v>
      </c>
      <c r="AN109" s="14" t="str">
        <f t="shared" si="4"/>
        <v>T</v>
      </c>
      <c r="AO109" s="16">
        <v>61</v>
      </c>
      <c r="AP109" s="15">
        <v>1281</v>
      </c>
      <c r="AQ109" s="16">
        <v>564</v>
      </c>
      <c r="AR109" s="17">
        <v>80</v>
      </c>
      <c r="AS109" s="17">
        <v>64</v>
      </c>
      <c r="AT109" s="17">
        <v>68</v>
      </c>
      <c r="AU109" s="17">
        <v>69</v>
      </c>
      <c r="AV109" s="17">
        <v>281</v>
      </c>
      <c r="AW109" s="11" t="s">
        <v>71</v>
      </c>
      <c r="BA109" s="14" t="s">
        <v>46</v>
      </c>
      <c r="BB109" s="16">
        <f t="shared" si="5"/>
        <v>4</v>
      </c>
    </row>
    <row r="110" spans="1:54" ht="14.25" customHeight="1" thickBot="1">
      <c r="A110" s="13">
        <v>40564</v>
      </c>
      <c r="B110" s="14" t="s">
        <v>16</v>
      </c>
      <c r="C110" s="14" t="s">
        <v>26</v>
      </c>
      <c r="D110" s="16">
        <v>242</v>
      </c>
      <c r="E110" s="14" t="s">
        <v>83</v>
      </c>
      <c r="F110" s="14" t="s">
        <v>24</v>
      </c>
      <c r="G110" s="14" t="s">
        <v>48</v>
      </c>
      <c r="H110" s="16">
        <v>11</v>
      </c>
      <c r="I110" s="16">
        <v>242</v>
      </c>
      <c r="J110" s="16">
        <v>110</v>
      </c>
      <c r="K110" s="17">
        <v>73</v>
      </c>
      <c r="L110" s="17">
        <v>60</v>
      </c>
      <c r="M110" s="17">
        <v>87</v>
      </c>
      <c r="N110" s="17">
        <v>93</v>
      </c>
      <c r="O110" s="17">
        <v>313</v>
      </c>
      <c r="P110" s="11" t="s">
        <v>65</v>
      </c>
      <c r="Q110" s="11"/>
      <c r="R110" s="11"/>
      <c r="S110" s="36">
        <v>293</v>
      </c>
      <c r="AH110" s="13">
        <v>40580</v>
      </c>
      <c r="AI110" s="14" t="str">
        <f t="shared" si="3"/>
        <v>SUNSET</v>
      </c>
      <c r="AJ110" s="14" t="s">
        <v>19</v>
      </c>
      <c r="AK110" s="15">
        <v>1281</v>
      </c>
      <c r="AL110" s="14" t="s">
        <v>63</v>
      </c>
      <c r="AM110" s="14" t="s">
        <v>10</v>
      </c>
      <c r="AN110" s="14" t="str">
        <f t="shared" si="4"/>
        <v>T</v>
      </c>
      <c r="AO110" s="16">
        <v>61</v>
      </c>
      <c r="AP110" s="15">
        <v>1281</v>
      </c>
      <c r="AQ110" s="16">
        <v>564</v>
      </c>
      <c r="AR110" s="17">
        <v>69</v>
      </c>
      <c r="AS110" s="17">
        <v>86</v>
      </c>
      <c r="AT110" s="17">
        <v>99</v>
      </c>
      <c r="AU110" s="17">
        <v>65</v>
      </c>
      <c r="AV110" s="17">
        <v>319</v>
      </c>
      <c r="AW110" s="11" t="s">
        <v>71</v>
      </c>
      <c r="BA110" s="14" t="s">
        <v>46</v>
      </c>
      <c r="BB110" s="16">
        <f t="shared" si="5"/>
        <v>4</v>
      </c>
    </row>
    <row r="111" spans="1:54" ht="14.25" customHeight="1" thickBot="1">
      <c r="A111" s="13">
        <v>40553</v>
      </c>
      <c r="B111" s="14" t="s">
        <v>20</v>
      </c>
      <c r="C111" s="14" t="s">
        <v>9</v>
      </c>
      <c r="D111" s="16">
        <v>567</v>
      </c>
      <c r="E111" s="14" t="s">
        <v>63</v>
      </c>
      <c r="F111" s="14" t="s">
        <v>21</v>
      </c>
      <c r="G111" s="14" t="s">
        <v>48</v>
      </c>
      <c r="H111" s="16">
        <v>27</v>
      </c>
      <c r="I111" s="16">
        <v>567</v>
      </c>
      <c r="J111" s="16">
        <v>250</v>
      </c>
      <c r="K111" s="17">
        <v>60</v>
      </c>
      <c r="L111" s="17">
        <v>87</v>
      </c>
      <c r="M111" s="17">
        <v>65</v>
      </c>
      <c r="N111" s="17">
        <v>97</v>
      </c>
      <c r="O111" s="17">
        <v>309</v>
      </c>
      <c r="P111" s="11" t="s">
        <v>65</v>
      </c>
      <c r="Q111" s="11"/>
      <c r="R111" s="11"/>
      <c r="S111" s="36">
        <v>294</v>
      </c>
      <c r="AH111" s="13">
        <v>40566</v>
      </c>
      <c r="AI111" s="14" t="str">
        <f t="shared" si="3"/>
        <v>SUNSHINE</v>
      </c>
      <c r="AJ111" s="14" t="s">
        <v>26</v>
      </c>
      <c r="AK111" s="16">
        <v>931</v>
      </c>
      <c r="AL111" s="14" t="s">
        <v>83</v>
      </c>
      <c r="AM111" s="14" t="s">
        <v>17</v>
      </c>
      <c r="AN111" s="14" t="str">
        <f t="shared" si="4"/>
        <v>T</v>
      </c>
      <c r="AO111" s="16">
        <v>49</v>
      </c>
      <c r="AP111" s="16">
        <v>931</v>
      </c>
      <c r="AQ111" s="16">
        <v>392</v>
      </c>
      <c r="AR111" s="17">
        <v>98</v>
      </c>
      <c r="AS111" s="17">
        <v>61</v>
      </c>
      <c r="AT111" s="17">
        <v>81</v>
      </c>
      <c r="AU111" s="17">
        <v>61</v>
      </c>
      <c r="AV111" s="17">
        <v>301</v>
      </c>
      <c r="AW111" s="11" t="s">
        <v>71</v>
      </c>
      <c r="BA111" s="14" t="s">
        <v>47</v>
      </c>
      <c r="BB111" s="16">
        <f t="shared" si="5"/>
        <v>1</v>
      </c>
    </row>
    <row r="112" spans="1:54" ht="14.25" customHeight="1" thickBot="1">
      <c r="A112" s="13">
        <v>40553</v>
      </c>
      <c r="B112" s="14" t="s">
        <v>14</v>
      </c>
      <c r="C112" s="14" t="s">
        <v>26</v>
      </c>
      <c r="D112" s="16">
        <v>570</v>
      </c>
      <c r="E112" s="14" t="s">
        <v>83</v>
      </c>
      <c r="F112" s="14" t="s">
        <v>17</v>
      </c>
      <c r="G112" s="14" t="s">
        <v>48</v>
      </c>
      <c r="H112" s="16">
        <v>30</v>
      </c>
      <c r="I112" s="16">
        <v>570</v>
      </c>
      <c r="J112" s="16">
        <v>240</v>
      </c>
      <c r="K112" s="17">
        <v>76</v>
      </c>
      <c r="L112" s="17">
        <v>85</v>
      </c>
      <c r="M112" s="17">
        <v>69</v>
      </c>
      <c r="N112" s="17">
        <v>87</v>
      </c>
      <c r="O112" s="17">
        <v>317</v>
      </c>
      <c r="P112" s="11" t="s">
        <v>65</v>
      </c>
      <c r="Q112" s="11"/>
      <c r="R112" s="11"/>
      <c r="S112" s="36">
        <v>295</v>
      </c>
      <c r="AH112" s="13">
        <v>40564</v>
      </c>
      <c r="AI112" s="14" t="str">
        <f t="shared" si="3"/>
        <v>BELLEN</v>
      </c>
      <c r="AJ112" s="14" t="s">
        <v>26</v>
      </c>
      <c r="AK112" s="16">
        <v>242</v>
      </c>
      <c r="AL112" s="14" t="s">
        <v>83</v>
      </c>
      <c r="AM112" s="14" t="s">
        <v>24</v>
      </c>
      <c r="AN112" s="14" t="str">
        <f t="shared" si="4"/>
        <v>Tru</v>
      </c>
      <c r="AO112" s="16">
        <v>11</v>
      </c>
      <c r="AP112" s="16">
        <v>242</v>
      </c>
      <c r="AQ112" s="16">
        <v>110</v>
      </c>
      <c r="AR112" s="17">
        <v>73</v>
      </c>
      <c r="AS112" s="17">
        <v>60</v>
      </c>
      <c r="AT112" s="17">
        <v>87</v>
      </c>
      <c r="AU112" s="17">
        <v>93</v>
      </c>
      <c r="AV112" s="17">
        <v>313</v>
      </c>
      <c r="AW112" s="11" t="s">
        <v>65</v>
      </c>
      <c r="BA112" s="14" t="s">
        <v>47</v>
      </c>
      <c r="BB112" s="16">
        <f t="shared" si="5"/>
        <v>1</v>
      </c>
    </row>
    <row r="113" spans="1:54" ht="14.25" customHeight="1" thickBot="1">
      <c r="A113" s="13">
        <v>40573</v>
      </c>
      <c r="B113" s="14" t="s">
        <v>12</v>
      </c>
      <c r="C113" s="14" t="s">
        <v>26</v>
      </c>
      <c r="D113" s="16">
        <v>675</v>
      </c>
      <c r="E113" s="14" t="s">
        <v>83</v>
      </c>
      <c r="F113" s="14" t="s">
        <v>13</v>
      </c>
      <c r="G113" s="14" t="s">
        <v>49</v>
      </c>
      <c r="H113" s="16">
        <v>25</v>
      </c>
      <c r="I113" s="16">
        <v>675</v>
      </c>
      <c r="J113" s="16">
        <v>363</v>
      </c>
      <c r="K113" s="17">
        <v>82</v>
      </c>
      <c r="L113" s="17">
        <v>68</v>
      </c>
      <c r="M113" s="17">
        <v>80</v>
      </c>
      <c r="N113" s="17">
        <v>64</v>
      </c>
      <c r="O113" s="17">
        <v>294</v>
      </c>
      <c r="P113" s="11" t="s">
        <v>71</v>
      </c>
      <c r="Q113" s="11"/>
      <c r="R113" s="11"/>
      <c r="S113" s="36">
        <v>296</v>
      </c>
      <c r="AH113" s="13">
        <v>40553</v>
      </c>
      <c r="AI113" s="14" t="str">
        <f t="shared" si="3"/>
        <v>SUNSET</v>
      </c>
      <c r="AJ113" s="14" t="s">
        <v>9</v>
      </c>
      <c r="AK113" s="16">
        <v>567</v>
      </c>
      <c r="AL113" s="14" t="s">
        <v>63</v>
      </c>
      <c r="AM113" s="14" t="s">
        <v>21</v>
      </c>
      <c r="AN113" s="14" t="str">
        <f t="shared" si="4"/>
        <v>Tru</v>
      </c>
      <c r="AO113" s="16">
        <v>27</v>
      </c>
      <c r="AP113" s="16">
        <v>567</v>
      </c>
      <c r="AQ113" s="16">
        <v>250</v>
      </c>
      <c r="AR113" s="17">
        <v>60</v>
      </c>
      <c r="AS113" s="17">
        <v>87</v>
      </c>
      <c r="AT113" s="17">
        <v>65</v>
      </c>
      <c r="AU113" s="17">
        <v>97</v>
      </c>
      <c r="AV113" s="17">
        <v>309</v>
      </c>
      <c r="AW113" s="11" t="s">
        <v>65</v>
      </c>
      <c r="BA113" s="14" t="s">
        <v>47</v>
      </c>
      <c r="BB113" s="16">
        <f t="shared" si="5"/>
        <v>1</v>
      </c>
    </row>
    <row r="114" spans="1:54" ht="14.25" customHeight="1" thickBot="1">
      <c r="A114" s="13">
        <v>40548</v>
      </c>
      <c r="B114" s="14" t="s">
        <v>20</v>
      </c>
      <c r="C114" s="14" t="s">
        <v>26</v>
      </c>
      <c r="D114" s="15">
        <v>1197</v>
      </c>
      <c r="E114" s="14" t="s">
        <v>83</v>
      </c>
      <c r="F114" s="14" t="s">
        <v>10</v>
      </c>
      <c r="G114" s="14" t="s">
        <v>49</v>
      </c>
      <c r="H114" s="16">
        <v>57</v>
      </c>
      <c r="I114" s="15">
        <v>1197</v>
      </c>
      <c r="J114" s="16">
        <v>527</v>
      </c>
      <c r="K114" s="17">
        <v>91</v>
      </c>
      <c r="L114" s="17">
        <v>96</v>
      </c>
      <c r="M114" s="17">
        <v>77</v>
      </c>
      <c r="N114" s="17">
        <v>74</v>
      </c>
      <c r="O114" s="17">
        <v>338</v>
      </c>
      <c r="P114" s="11" t="s">
        <v>71</v>
      </c>
      <c r="Q114" s="11"/>
      <c r="R114" s="11"/>
      <c r="S114" s="36">
        <v>297</v>
      </c>
      <c r="AH114" s="13">
        <v>40553</v>
      </c>
      <c r="AI114" s="14" t="str">
        <f t="shared" si="3"/>
        <v>SUNSHINE</v>
      </c>
      <c r="AJ114" s="14" t="s">
        <v>26</v>
      </c>
      <c r="AK114" s="16">
        <v>570</v>
      </c>
      <c r="AL114" s="14" t="s">
        <v>83</v>
      </c>
      <c r="AM114" s="14" t="s">
        <v>17</v>
      </c>
      <c r="AN114" s="14" t="str">
        <f t="shared" si="4"/>
        <v>Tru</v>
      </c>
      <c r="AO114" s="16">
        <v>30</v>
      </c>
      <c r="AP114" s="16">
        <v>570</v>
      </c>
      <c r="AQ114" s="16">
        <v>240</v>
      </c>
      <c r="AR114" s="17">
        <v>76</v>
      </c>
      <c r="AS114" s="17">
        <v>85</v>
      </c>
      <c r="AT114" s="17">
        <v>69</v>
      </c>
      <c r="AU114" s="17">
        <v>87</v>
      </c>
      <c r="AV114" s="17">
        <v>317</v>
      </c>
      <c r="AW114" s="11" t="s">
        <v>65</v>
      </c>
      <c r="BA114" s="14" t="s">
        <v>47</v>
      </c>
      <c r="BB114" s="16">
        <f t="shared" si="5"/>
        <v>1</v>
      </c>
    </row>
    <row r="115" spans="1:54" ht="14.25" customHeight="1" thickBot="1">
      <c r="A115" s="13">
        <v>40553</v>
      </c>
      <c r="B115" s="14" t="s">
        <v>14</v>
      </c>
      <c r="C115" s="14" t="s">
        <v>22</v>
      </c>
      <c r="D115" s="16">
        <v>152</v>
      </c>
      <c r="E115" s="14" t="s">
        <v>83</v>
      </c>
      <c r="F115" s="14" t="s">
        <v>24</v>
      </c>
      <c r="G115" s="14" t="s">
        <v>49</v>
      </c>
      <c r="H115" s="16">
        <v>8</v>
      </c>
      <c r="I115" s="16">
        <v>152</v>
      </c>
      <c r="J115" s="16">
        <v>64</v>
      </c>
      <c r="K115" s="17">
        <v>97</v>
      </c>
      <c r="L115" s="17">
        <v>79</v>
      </c>
      <c r="M115" s="17">
        <v>85</v>
      </c>
      <c r="N115" s="17">
        <v>76</v>
      </c>
      <c r="O115" s="17">
        <v>337</v>
      </c>
      <c r="P115" s="11" t="s">
        <v>65</v>
      </c>
      <c r="Q115" s="11"/>
      <c r="R115" s="11"/>
      <c r="S115" s="36">
        <v>300</v>
      </c>
      <c r="AH115" s="13">
        <v>40573</v>
      </c>
      <c r="AI115" s="14" t="str">
        <f t="shared" si="3"/>
        <v>QUAD</v>
      </c>
      <c r="AJ115" s="14" t="s">
        <v>26</v>
      </c>
      <c r="AK115" s="16">
        <v>675</v>
      </c>
      <c r="AL115" s="14" t="s">
        <v>83</v>
      </c>
      <c r="AM115" s="14" t="s">
        <v>13</v>
      </c>
      <c r="AN115" s="14" t="str">
        <f t="shared" si="4"/>
        <v>Ttt</v>
      </c>
      <c r="AO115" s="16">
        <v>25</v>
      </c>
      <c r="AP115" s="16">
        <v>675</v>
      </c>
      <c r="AQ115" s="16">
        <v>363</v>
      </c>
      <c r="AR115" s="17">
        <v>82</v>
      </c>
      <c r="AS115" s="17">
        <v>68</v>
      </c>
      <c r="AT115" s="17">
        <v>80</v>
      </c>
      <c r="AU115" s="17">
        <v>64</v>
      </c>
      <c r="AV115" s="17">
        <v>294</v>
      </c>
      <c r="AW115" s="11" t="s">
        <v>71</v>
      </c>
      <c r="BA115" s="14" t="s">
        <v>47</v>
      </c>
      <c r="BB115" s="16">
        <f t="shared" si="5"/>
        <v>1</v>
      </c>
    </row>
    <row r="116" spans="1:54" ht="14.25" customHeight="1" thickBot="1">
      <c r="A116" s="13">
        <v>40573</v>
      </c>
      <c r="B116" s="14" t="s">
        <v>14</v>
      </c>
      <c r="C116" s="14" t="s">
        <v>26</v>
      </c>
      <c r="D116" s="16">
        <v>437</v>
      </c>
      <c r="E116" s="14" t="s">
        <v>83</v>
      </c>
      <c r="F116" s="14" t="s">
        <v>13</v>
      </c>
      <c r="G116" s="14" t="s">
        <v>49</v>
      </c>
      <c r="H116" s="16">
        <v>23</v>
      </c>
      <c r="I116" s="16">
        <v>437</v>
      </c>
      <c r="J116" s="16">
        <v>184</v>
      </c>
      <c r="K116" s="17">
        <v>63</v>
      </c>
      <c r="L116" s="17">
        <v>76</v>
      </c>
      <c r="M116" s="17">
        <v>65</v>
      </c>
      <c r="N116" s="17">
        <v>78</v>
      </c>
      <c r="O116" s="17">
        <v>282</v>
      </c>
      <c r="P116" s="11" t="s">
        <v>71</v>
      </c>
      <c r="Q116" s="11"/>
      <c r="R116" s="11"/>
      <c r="S116" s="36">
        <v>301</v>
      </c>
      <c r="AH116" s="13">
        <v>40548</v>
      </c>
      <c r="AI116" s="14" t="str">
        <f t="shared" si="3"/>
        <v>SUNSET</v>
      </c>
      <c r="AJ116" s="14" t="s">
        <v>26</v>
      </c>
      <c r="AK116" s="15">
        <v>1197</v>
      </c>
      <c r="AL116" s="14" t="s">
        <v>83</v>
      </c>
      <c r="AM116" s="14" t="s">
        <v>10</v>
      </c>
      <c r="AN116" s="14" t="str">
        <f t="shared" si="4"/>
        <v>Ttt</v>
      </c>
      <c r="AO116" s="16">
        <v>57</v>
      </c>
      <c r="AP116" s="15">
        <v>1197</v>
      </c>
      <c r="AQ116" s="16">
        <v>527</v>
      </c>
      <c r="AR116" s="17">
        <v>91</v>
      </c>
      <c r="AS116" s="17">
        <v>96</v>
      </c>
      <c r="AT116" s="17">
        <v>77</v>
      </c>
      <c r="AU116" s="17">
        <v>74</v>
      </c>
      <c r="AV116" s="17">
        <v>338</v>
      </c>
      <c r="AW116" s="11" t="s">
        <v>71</v>
      </c>
      <c r="BA116" s="14" t="s">
        <v>48</v>
      </c>
      <c r="BB116" s="16">
        <f t="shared" si="5"/>
        <v>3</v>
      </c>
    </row>
    <row r="117" spans="1:54" ht="14.25" customHeight="1" thickBot="1">
      <c r="A117" s="13">
        <v>40552</v>
      </c>
      <c r="B117" s="14" t="s">
        <v>16</v>
      </c>
      <c r="C117" s="14" t="s">
        <v>26</v>
      </c>
      <c r="D117" s="16">
        <v>572</v>
      </c>
      <c r="E117" s="14" t="s">
        <v>83</v>
      </c>
      <c r="F117" s="14" t="s">
        <v>17</v>
      </c>
      <c r="G117" s="14" t="s">
        <v>50</v>
      </c>
      <c r="H117" s="16">
        <v>26</v>
      </c>
      <c r="I117" s="16">
        <v>572</v>
      </c>
      <c r="J117" s="16">
        <v>260</v>
      </c>
      <c r="K117" s="17">
        <v>72</v>
      </c>
      <c r="L117" s="17">
        <v>66</v>
      </c>
      <c r="M117" s="17">
        <v>66</v>
      </c>
      <c r="N117" s="17">
        <v>67</v>
      </c>
      <c r="O117" s="17">
        <v>271</v>
      </c>
      <c r="P117" s="11" t="s">
        <v>65</v>
      </c>
      <c r="Q117" s="11"/>
      <c r="R117" s="11"/>
      <c r="S117" s="36">
        <v>302</v>
      </c>
      <c r="AH117" s="13">
        <v>40553</v>
      </c>
      <c r="AI117" s="14" t="str">
        <f t="shared" si="3"/>
        <v>SUNSHINE</v>
      </c>
      <c r="AJ117" s="14" t="s">
        <v>22</v>
      </c>
      <c r="AK117" s="16">
        <v>152</v>
      </c>
      <c r="AL117" s="14" t="s">
        <v>83</v>
      </c>
      <c r="AM117" s="14" t="s">
        <v>24</v>
      </c>
      <c r="AN117" s="14" t="str">
        <f t="shared" si="4"/>
        <v>Ttt</v>
      </c>
      <c r="AO117" s="16">
        <v>8</v>
      </c>
      <c r="AP117" s="16">
        <v>152</v>
      </c>
      <c r="AQ117" s="16">
        <v>64</v>
      </c>
      <c r="AR117" s="17">
        <v>97</v>
      </c>
      <c r="AS117" s="17">
        <v>79</v>
      </c>
      <c r="AT117" s="17">
        <v>85</v>
      </c>
      <c r="AU117" s="17">
        <v>76</v>
      </c>
      <c r="AV117" s="17">
        <v>337</v>
      </c>
      <c r="AW117" s="11" t="s">
        <v>65</v>
      </c>
      <c r="BA117" s="14" t="s">
        <v>48</v>
      </c>
      <c r="BB117" s="16">
        <f t="shared" si="5"/>
        <v>3</v>
      </c>
    </row>
    <row r="118" spans="1:54" ht="14.25" customHeight="1" thickBot="1">
      <c r="A118" s="13">
        <v>40552</v>
      </c>
      <c r="B118" s="14" t="s">
        <v>8</v>
      </c>
      <c r="C118" s="14" t="s">
        <v>9</v>
      </c>
      <c r="D118" s="16">
        <v>874</v>
      </c>
      <c r="E118" s="14" t="s">
        <v>63</v>
      </c>
      <c r="F118" s="14" t="s">
        <v>15</v>
      </c>
      <c r="G118" s="14" t="s">
        <v>50</v>
      </c>
      <c r="H118" s="16">
        <v>38</v>
      </c>
      <c r="I118" s="16">
        <v>874</v>
      </c>
      <c r="J118" s="16">
        <v>418</v>
      </c>
      <c r="K118" s="17">
        <v>90</v>
      </c>
      <c r="L118" s="17">
        <v>96</v>
      </c>
      <c r="M118" s="17">
        <v>93</v>
      </c>
      <c r="N118" s="17">
        <v>71</v>
      </c>
      <c r="O118" s="17">
        <v>350</v>
      </c>
      <c r="P118" s="11" t="s">
        <v>65</v>
      </c>
      <c r="Q118" s="11"/>
      <c r="R118" s="11"/>
      <c r="S118" s="36">
        <v>303</v>
      </c>
      <c r="AH118" s="13">
        <v>40573</v>
      </c>
      <c r="AI118" s="14" t="str">
        <f t="shared" si="3"/>
        <v>SUNSHINE</v>
      </c>
      <c r="AJ118" s="14" t="s">
        <v>26</v>
      </c>
      <c r="AK118" s="16">
        <v>437</v>
      </c>
      <c r="AL118" s="14" t="s">
        <v>83</v>
      </c>
      <c r="AM118" s="14" t="s">
        <v>13</v>
      </c>
      <c r="AN118" s="14" t="str">
        <f t="shared" si="4"/>
        <v>Ttt</v>
      </c>
      <c r="AO118" s="16">
        <v>23</v>
      </c>
      <c r="AP118" s="16">
        <v>437</v>
      </c>
      <c r="AQ118" s="16">
        <v>184</v>
      </c>
      <c r="AR118" s="17">
        <v>63</v>
      </c>
      <c r="AS118" s="17">
        <v>76</v>
      </c>
      <c r="AT118" s="17">
        <v>65</v>
      </c>
      <c r="AU118" s="17">
        <v>78</v>
      </c>
      <c r="AV118" s="17">
        <v>282</v>
      </c>
      <c r="AW118" s="11" t="s">
        <v>71</v>
      </c>
      <c r="BA118" s="14" t="s">
        <v>48</v>
      </c>
      <c r="BB118" s="16">
        <f t="shared" si="5"/>
        <v>3</v>
      </c>
    </row>
    <row r="119" spans="1:54" ht="14.25" customHeight="1" thickBot="1">
      <c r="A119" s="13">
        <v>40597</v>
      </c>
      <c r="B119" s="14" t="s">
        <v>8</v>
      </c>
      <c r="C119" s="14" t="s">
        <v>9</v>
      </c>
      <c r="D119" s="16">
        <v>874</v>
      </c>
      <c r="E119" s="14" t="s">
        <v>63</v>
      </c>
      <c r="F119" s="14" t="s">
        <v>15</v>
      </c>
      <c r="G119" s="14" t="s">
        <v>50</v>
      </c>
      <c r="H119" s="16">
        <v>38</v>
      </c>
      <c r="I119" s="16">
        <v>874</v>
      </c>
      <c r="J119" s="16">
        <v>418</v>
      </c>
      <c r="K119" s="17">
        <v>93</v>
      </c>
      <c r="L119" s="17">
        <v>94</v>
      </c>
      <c r="M119" s="17">
        <v>89</v>
      </c>
      <c r="N119" s="17">
        <v>93</v>
      </c>
      <c r="O119" s="17">
        <v>369</v>
      </c>
      <c r="P119" s="11" t="s">
        <v>65</v>
      </c>
      <c r="Q119" s="11"/>
      <c r="R119" s="11"/>
      <c r="S119" s="36">
        <v>304</v>
      </c>
      <c r="AH119" s="13">
        <v>40552</v>
      </c>
      <c r="AI119" s="14" t="str">
        <f t="shared" si="3"/>
        <v>BELLEN</v>
      </c>
      <c r="AJ119" s="14" t="s">
        <v>26</v>
      </c>
      <c r="AK119" s="16">
        <v>572</v>
      </c>
      <c r="AL119" s="14" t="s">
        <v>83</v>
      </c>
      <c r="AM119" s="14" t="s">
        <v>17</v>
      </c>
      <c r="AN119" s="14" t="str">
        <f t="shared" si="4"/>
        <v>Wsd</v>
      </c>
      <c r="AO119" s="16">
        <v>26</v>
      </c>
      <c r="AP119" s="16">
        <v>572</v>
      </c>
      <c r="AQ119" s="16">
        <v>260</v>
      </c>
      <c r="AR119" s="17">
        <v>72</v>
      </c>
      <c r="AS119" s="17">
        <v>66</v>
      </c>
      <c r="AT119" s="17">
        <v>66</v>
      </c>
      <c r="AU119" s="17">
        <v>67</v>
      </c>
      <c r="AV119" s="17">
        <v>271</v>
      </c>
      <c r="AW119" s="11" t="s">
        <v>65</v>
      </c>
      <c r="BA119" s="14" t="s">
        <v>49</v>
      </c>
      <c r="BB119" s="16">
        <f t="shared" si="5"/>
        <v>3</v>
      </c>
    </row>
    <row r="120" spans="1:54" ht="14.25" customHeight="1" thickBot="1">
      <c r="A120" s="13">
        <v>40546</v>
      </c>
      <c r="B120" s="14" t="s">
        <v>12</v>
      </c>
      <c r="C120" s="14" t="s">
        <v>26</v>
      </c>
      <c r="D120" s="16">
        <v>483</v>
      </c>
      <c r="E120" s="14" t="s">
        <v>83</v>
      </c>
      <c r="F120" s="14" t="s">
        <v>10</v>
      </c>
      <c r="G120" s="14" t="s">
        <v>50</v>
      </c>
      <c r="H120" s="16">
        <v>23</v>
      </c>
      <c r="I120" s="16">
        <v>483</v>
      </c>
      <c r="J120" s="16">
        <v>213</v>
      </c>
      <c r="K120" s="17">
        <v>73</v>
      </c>
      <c r="L120" s="17">
        <v>87</v>
      </c>
      <c r="M120" s="17">
        <v>74</v>
      </c>
      <c r="N120" s="17">
        <v>82</v>
      </c>
      <c r="O120" s="17">
        <v>316</v>
      </c>
      <c r="P120" s="11" t="s">
        <v>71</v>
      </c>
      <c r="Q120" s="11"/>
      <c r="R120" s="11"/>
      <c r="S120" s="36">
        <v>307</v>
      </c>
      <c r="AH120" s="13">
        <v>40552</v>
      </c>
      <c r="AI120" s="14" t="str">
        <f t="shared" si="3"/>
        <v>CARLOTA</v>
      </c>
      <c r="AJ120" s="14" t="s">
        <v>9</v>
      </c>
      <c r="AK120" s="16">
        <v>874</v>
      </c>
      <c r="AL120" s="14" t="s">
        <v>63</v>
      </c>
      <c r="AM120" s="14" t="s">
        <v>15</v>
      </c>
      <c r="AN120" s="14" t="str">
        <f t="shared" si="4"/>
        <v>Wsd</v>
      </c>
      <c r="AO120" s="16">
        <v>38</v>
      </c>
      <c r="AP120" s="16">
        <v>874</v>
      </c>
      <c r="AQ120" s="16">
        <v>418</v>
      </c>
      <c r="AR120" s="17">
        <v>90</v>
      </c>
      <c r="AS120" s="17">
        <v>96</v>
      </c>
      <c r="AT120" s="17">
        <v>93</v>
      </c>
      <c r="AU120" s="17">
        <v>71</v>
      </c>
      <c r="AV120" s="17">
        <v>350</v>
      </c>
      <c r="AW120" s="11" t="s">
        <v>65</v>
      </c>
      <c r="BA120" s="14" t="s">
        <v>49</v>
      </c>
      <c r="BB120" s="16">
        <f t="shared" si="5"/>
        <v>3</v>
      </c>
    </row>
    <row r="121" spans="1:54" ht="14.25" customHeight="1" thickBot="1">
      <c r="A121" s="13">
        <v>40555</v>
      </c>
      <c r="B121" s="14" t="s">
        <v>16</v>
      </c>
      <c r="C121" s="14" t="s">
        <v>26</v>
      </c>
      <c r="D121" s="16">
        <v>154</v>
      </c>
      <c r="E121" s="14" t="s">
        <v>83</v>
      </c>
      <c r="F121" s="14" t="s">
        <v>17</v>
      </c>
      <c r="G121" s="14" t="s">
        <v>51</v>
      </c>
      <c r="H121" s="16">
        <v>7</v>
      </c>
      <c r="I121" s="16">
        <v>154</v>
      </c>
      <c r="J121" s="16">
        <v>70</v>
      </c>
      <c r="K121" s="17">
        <v>64</v>
      </c>
      <c r="L121" s="17">
        <v>86</v>
      </c>
      <c r="M121" s="17">
        <v>98</v>
      </c>
      <c r="N121" s="17">
        <v>78</v>
      </c>
      <c r="O121" s="17">
        <v>326</v>
      </c>
      <c r="P121" s="11" t="s">
        <v>71</v>
      </c>
      <c r="Q121" s="11"/>
      <c r="R121" s="11"/>
      <c r="S121" s="36">
        <v>308</v>
      </c>
      <c r="AH121" s="13">
        <v>40597</v>
      </c>
      <c r="AI121" s="14" t="str">
        <f t="shared" si="3"/>
        <v>CARLOTA</v>
      </c>
      <c r="AJ121" s="14" t="s">
        <v>9</v>
      </c>
      <c r="AK121" s="16">
        <v>874</v>
      </c>
      <c r="AL121" s="14" t="s">
        <v>63</v>
      </c>
      <c r="AM121" s="14" t="s">
        <v>15</v>
      </c>
      <c r="AN121" s="14" t="str">
        <f t="shared" si="4"/>
        <v>Wsd</v>
      </c>
      <c r="AO121" s="16">
        <v>38</v>
      </c>
      <c r="AP121" s="16">
        <v>874</v>
      </c>
      <c r="AQ121" s="16">
        <v>418</v>
      </c>
      <c r="AR121" s="17">
        <v>93</v>
      </c>
      <c r="AS121" s="17">
        <v>94</v>
      </c>
      <c r="AT121" s="17">
        <v>89</v>
      </c>
      <c r="AU121" s="17">
        <v>93</v>
      </c>
      <c r="AV121" s="17">
        <v>369</v>
      </c>
      <c r="AW121" s="11" t="s">
        <v>65</v>
      </c>
      <c r="BA121" s="14" t="s">
        <v>49</v>
      </c>
      <c r="BB121" s="16">
        <f t="shared" si="5"/>
        <v>3</v>
      </c>
    </row>
    <row r="122" spans="1:54" ht="14.25" customHeight="1" thickBot="1">
      <c r="A122" s="13">
        <v>40565</v>
      </c>
      <c r="B122" s="14" t="s">
        <v>16</v>
      </c>
      <c r="C122" s="14" t="s">
        <v>19</v>
      </c>
      <c r="D122" s="16">
        <v>132</v>
      </c>
      <c r="E122" s="14" t="s">
        <v>63</v>
      </c>
      <c r="F122" s="14" t="s">
        <v>24</v>
      </c>
      <c r="G122" s="14" t="s">
        <v>51</v>
      </c>
      <c r="H122" s="16">
        <v>6</v>
      </c>
      <c r="I122" s="16">
        <v>132</v>
      </c>
      <c r="J122" s="16">
        <v>60</v>
      </c>
      <c r="K122" s="17">
        <v>87</v>
      </c>
      <c r="L122" s="17">
        <v>65</v>
      </c>
      <c r="M122" s="17">
        <v>99</v>
      </c>
      <c r="N122" s="17">
        <v>85</v>
      </c>
      <c r="O122" s="17">
        <v>336</v>
      </c>
      <c r="P122" s="11" t="s">
        <v>65</v>
      </c>
      <c r="Q122" s="11"/>
      <c r="R122" s="11"/>
      <c r="S122" s="36">
        <v>309</v>
      </c>
      <c r="AH122" s="13">
        <v>40546</v>
      </c>
      <c r="AI122" s="14" t="str">
        <f t="shared" si="3"/>
        <v>QUAD</v>
      </c>
      <c r="AJ122" s="14" t="s">
        <v>26</v>
      </c>
      <c r="AK122" s="16">
        <v>483</v>
      </c>
      <c r="AL122" s="14" t="s">
        <v>83</v>
      </c>
      <c r="AM122" s="14" t="s">
        <v>10</v>
      </c>
      <c r="AN122" s="14" t="str">
        <f t="shared" si="4"/>
        <v>Wsd</v>
      </c>
      <c r="AO122" s="16">
        <v>23</v>
      </c>
      <c r="AP122" s="16">
        <v>483</v>
      </c>
      <c r="AQ122" s="16">
        <v>213</v>
      </c>
      <c r="AR122" s="17">
        <v>73</v>
      </c>
      <c r="AS122" s="17">
        <v>87</v>
      </c>
      <c r="AT122" s="17">
        <v>74</v>
      </c>
      <c r="AU122" s="17">
        <v>82</v>
      </c>
      <c r="AV122" s="17">
        <v>316</v>
      </c>
      <c r="AW122" s="11" t="s">
        <v>71</v>
      </c>
      <c r="BA122" s="14" t="s">
        <v>49</v>
      </c>
      <c r="BB122" s="16">
        <f t="shared" si="5"/>
        <v>3</v>
      </c>
    </row>
    <row r="123" spans="1:54" ht="14.25" customHeight="1" thickBot="1">
      <c r="A123" s="13">
        <v>40610</v>
      </c>
      <c r="B123" s="14" t="s">
        <v>16</v>
      </c>
      <c r="C123" s="14" t="s">
        <v>19</v>
      </c>
      <c r="D123" s="16">
        <v>132</v>
      </c>
      <c r="E123" s="14" t="s">
        <v>63</v>
      </c>
      <c r="F123" s="14" t="s">
        <v>24</v>
      </c>
      <c r="G123" s="14" t="s">
        <v>51</v>
      </c>
      <c r="H123" s="16">
        <v>6</v>
      </c>
      <c r="I123" s="16">
        <v>132</v>
      </c>
      <c r="J123" s="16">
        <v>60</v>
      </c>
      <c r="K123" s="17">
        <v>79</v>
      </c>
      <c r="L123" s="17">
        <v>100</v>
      </c>
      <c r="M123" s="17">
        <v>100</v>
      </c>
      <c r="N123" s="17">
        <v>93</v>
      </c>
      <c r="O123" s="17">
        <v>372</v>
      </c>
      <c r="P123" s="11" t="s">
        <v>71</v>
      </c>
      <c r="Q123" s="11"/>
      <c r="R123" s="11"/>
      <c r="S123" s="36">
        <v>310</v>
      </c>
      <c r="AH123" s="13">
        <v>40555</v>
      </c>
      <c r="AI123" s="14" t="str">
        <f t="shared" si="3"/>
        <v>BELLEN</v>
      </c>
      <c r="AJ123" s="14" t="s">
        <v>26</v>
      </c>
      <c r="AK123" s="16">
        <v>154</v>
      </c>
      <c r="AL123" s="14" t="s">
        <v>83</v>
      </c>
      <c r="AM123" s="14" t="s">
        <v>17</v>
      </c>
      <c r="AN123" s="14" t="str">
        <f t="shared" si="4"/>
        <v>Wt</v>
      </c>
      <c r="AO123" s="16">
        <v>7</v>
      </c>
      <c r="AP123" s="16">
        <v>154</v>
      </c>
      <c r="AQ123" s="16">
        <v>70</v>
      </c>
      <c r="AR123" s="17">
        <v>64</v>
      </c>
      <c r="AS123" s="17">
        <v>86</v>
      </c>
      <c r="AT123" s="17">
        <v>98</v>
      </c>
      <c r="AU123" s="17">
        <v>78</v>
      </c>
      <c r="AV123" s="17">
        <v>326</v>
      </c>
      <c r="AW123" s="11" t="s">
        <v>71</v>
      </c>
      <c r="BA123" s="14" t="s">
        <v>50</v>
      </c>
      <c r="BB123" s="16">
        <f t="shared" si="5"/>
        <v>3</v>
      </c>
    </row>
    <row r="124" spans="1:54" ht="14.25" customHeight="1" thickBot="1">
      <c r="A124" s="13">
        <v>40566</v>
      </c>
      <c r="B124" s="21" t="s">
        <v>12</v>
      </c>
      <c r="C124" s="14" t="s">
        <v>9</v>
      </c>
      <c r="D124" s="16">
        <v>594</v>
      </c>
      <c r="E124" s="14" t="s">
        <v>63</v>
      </c>
      <c r="F124" s="14" t="s">
        <v>10</v>
      </c>
      <c r="G124" s="14" t="s">
        <v>51</v>
      </c>
      <c r="H124" s="16">
        <v>22</v>
      </c>
      <c r="I124" s="16">
        <v>594</v>
      </c>
      <c r="J124" s="16">
        <v>319</v>
      </c>
      <c r="K124" s="17">
        <v>89</v>
      </c>
      <c r="L124" s="17">
        <v>99</v>
      </c>
      <c r="M124" s="17">
        <v>98</v>
      </c>
      <c r="N124" s="17">
        <v>95</v>
      </c>
      <c r="O124" s="17">
        <v>381</v>
      </c>
      <c r="P124" s="11" t="s">
        <v>65</v>
      </c>
      <c r="Q124" s="11"/>
      <c r="R124" s="11"/>
      <c r="S124" s="36">
        <v>311</v>
      </c>
      <c r="AH124" s="13">
        <v>40565</v>
      </c>
      <c r="AI124" s="14" t="str">
        <f t="shared" si="3"/>
        <v>BELLEN</v>
      </c>
      <c r="AJ124" s="14" t="s">
        <v>19</v>
      </c>
      <c r="AK124" s="16">
        <v>132</v>
      </c>
      <c r="AL124" s="14" t="s">
        <v>63</v>
      </c>
      <c r="AM124" s="14" t="s">
        <v>24</v>
      </c>
      <c r="AN124" s="14" t="str">
        <f t="shared" si="4"/>
        <v>Wt</v>
      </c>
      <c r="AO124" s="16">
        <v>6</v>
      </c>
      <c r="AP124" s="16">
        <v>132</v>
      </c>
      <c r="AQ124" s="16">
        <v>60</v>
      </c>
      <c r="AR124" s="17">
        <v>87</v>
      </c>
      <c r="AS124" s="17">
        <v>65</v>
      </c>
      <c r="AT124" s="17">
        <v>99</v>
      </c>
      <c r="AU124" s="17">
        <v>85</v>
      </c>
      <c r="AV124" s="17">
        <v>336</v>
      </c>
      <c r="AW124" s="11" t="s">
        <v>65</v>
      </c>
      <c r="BA124" s="14" t="s">
        <v>50</v>
      </c>
      <c r="BB124" s="16">
        <f t="shared" si="5"/>
        <v>3</v>
      </c>
    </row>
    <row r="125" spans="1:54" ht="14.25" customHeight="1" thickBot="1">
      <c r="A125" s="13">
        <v>40550</v>
      </c>
      <c r="B125" s="14" t="s">
        <v>20</v>
      </c>
      <c r="C125" s="14" t="s">
        <v>19</v>
      </c>
      <c r="D125" s="15">
        <v>1113</v>
      </c>
      <c r="E125" s="14" t="s">
        <v>63</v>
      </c>
      <c r="F125" s="14" t="s">
        <v>10</v>
      </c>
      <c r="G125" s="14" t="s">
        <v>51</v>
      </c>
      <c r="H125" s="16">
        <v>53</v>
      </c>
      <c r="I125" s="15">
        <v>1113</v>
      </c>
      <c r="J125" s="16">
        <v>490</v>
      </c>
      <c r="K125" s="17">
        <v>90</v>
      </c>
      <c r="L125" s="17">
        <v>62</v>
      </c>
      <c r="M125" s="17">
        <v>73</v>
      </c>
      <c r="N125" s="17">
        <v>93</v>
      </c>
      <c r="O125" s="17">
        <v>318</v>
      </c>
      <c r="P125" s="11" t="s">
        <v>71</v>
      </c>
      <c r="Q125" s="11"/>
      <c r="R125" s="11"/>
      <c r="S125" s="36">
        <v>312</v>
      </c>
      <c r="AH125" s="13">
        <v>40610</v>
      </c>
      <c r="AI125" s="14" t="str">
        <f t="shared" si="3"/>
        <v>BELLEN</v>
      </c>
      <c r="AJ125" s="14" t="s">
        <v>19</v>
      </c>
      <c r="AK125" s="16">
        <v>132</v>
      </c>
      <c r="AL125" s="14" t="s">
        <v>63</v>
      </c>
      <c r="AM125" s="14" t="s">
        <v>24</v>
      </c>
      <c r="AN125" s="14" t="str">
        <f t="shared" si="4"/>
        <v>Wt</v>
      </c>
      <c r="AO125" s="16">
        <v>6</v>
      </c>
      <c r="AP125" s="16">
        <v>132</v>
      </c>
      <c r="AQ125" s="16">
        <v>60</v>
      </c>
      <c r="AR125" s="17">
        <v>79</v>
      </c>
      <c r="AS125" s="17">
        <v>100</v>
      </c>
      <c r="AT125" s="17">
        <v>100</v>
      </c>
      <c r="AU125" s="17">
        <v>93</v>
      </c>
      <c r="AV125" s="17">
        <v>372</v>
      </c>
      <c r="AW125" s="11" t="s">
        <v>71</v>
      </c>
      <c r="BA125" s="14" t="s">
        <v>50</v>
      </c>
      <c r="BB125" s="16">
        <f t="shared" si="5"/>
        <v>3</v>
      </c>
    </row>
    <row r="126" spans="1:54" ht="14.25" customHeight="1" thickBot="1">
      <c r="A126" s="13">
        <v>40559</v>
      </c>
      <c r="B126" s="14" t="s">
        <v>16</v>
      </c>
      <c r="C126" s="14" t="s">
        <v>22</v>
      </c>
      <c r="D126" s="15">
        <v>1232</v>
      </c>
      <c r="E126" s="14" t="s">
        <v>83</v>
      </c>
      <c r="F126" s="14" t="s">
        <v>13</v>
      </c>
      <c r="G126" s="14" t="s">
        <v>52</v>
      </c>
      <c r="H126" s="16">
        <v>56</v>
      </c>
      <c r="I126" s="15">
        <v>1232</v>
      </c>
      <c r="J126" s="16">
        <v>560</v>
      </c>
      <c r="K126" s="17">
        <v>91</v>
      </c>
      <c r="L126" s="17">
        <v>99</v>
      </c>
      <c r="M126" s="17">
        <v>74</v>
      </c>
      <c r="N126" s="17">
        <v>88</v>
      </c>
      <c r="O126" s="17">
        <v>352</v>
      </c>
      <c r="P126" s="11" t="s">
        <v>71</v>
      </c>
      <c r="Q126" s="11"/>
      <c r="R126" s="11"/>
      <c r="S126" s="36">
        <v>313</v>
      </c>
      <c r="AH126" s="13">
        <v>40566</v>
      </c>
      <c r="AI126" s="14" t="str">
        <f t="shared" si="3"/>
        <v>QUAD</v>
      </c>
      <c r="AJ126" s="14" t="s">
        <v>9</v>
      </c>
      <c r="AK126" s="16">
        <v>594</v>
      </c>
      <c r="AL126" s="14" t="s">
        <v>63</v>
      </c>
      <c r="AM126" s="14" t="s">
        <v>10</v>
      </c>
      <c r="AN126" s="14" t="str">
        <f t="shared" si="4"/>
        <v>Wt</v>
      </c>
      <c r="AO126" s="16">
        <v>22</v>
      </c>
      <c r="AP126" s="16">
        <v>594</v>
      </c>
      <c r="AQ126" s="16">
        <v>319</v>
      </c>
      <c r="AR126" s="17">
        <v>89</v>
      </c>
      <c r="AS126" s="17">
        <v>99</v>
      </c>
      <c r="AT126" s="17">
        <v>98</v>
      </c>
      <c r="AU126" s="17">
        <v>95</v>
      </c>
      <c r="AV126" s="17">
        <v>381</v>
      </c>
      <c r="AW126" s="11" t="s">
        <v>65</v>
      </c>
      <c r="BA126" s="14" t="s">
        <v>50</v>
      </c>
      <c r="BB126" s="16">
        <f t="shared" si="5"/>
        <v>3</v>
      </c>
    </row>
    <row r="127" spans="1:54" ht="14.25" customHeight="1" thickBot="1">
      <c r="A127" s="13">
        <v>40589</v>
      </c>
      <c r="B127" s="14" t="s">
        <v>12</v>
      </c>
      <c r="C127" s="14" t="s">
        <v>22</v>
      </c>
      <c r="D127" s="15">
        <v>1232</v>
      </c>
      <c r="E127" s="14" t="s">
        <v>83</v>
      </c>
      <c r="F127" s="14" t="s">
        <v>13</v>
      </c>
      <c r="G127" s="14" t="s">
        <v>52</v>
      </c>
      <c r="H127" s="16">
        <v>56</v>
      </c>
      <c r="I127" s="15">
        <v>1232</v>
      </c>
      <c r="J127" s="16">
        <v>560</v>
      </c>
      <c r="K127" s="17">
        <v>84</v>
      </c>
      <c r="L127" s="17">
        <v>64</v>
      </c>
      <c r="M127" s="17">
        <v>65</v>
      </c>
      <c r="N127" s="17">
        <v>74</v>
      </c>
      <c r="O127" s="17">
        <v>287</v>
      </c>
      <c r="P127" s="11" t="s">
        <v>71</v>
      </c>
      <c r="Q127" s="11"/>
      <c r="R127" s="11"/>
      <c r="S127" s="36">
        <v>314</v>
      </c>
      <c r="AH127" s="13">
        <v>40550</v>
      </c>
      <c r="AI127" s="14" t="str">
        <f t="shared" si="3"/>
        <v>SUNSET</v>
      </c>
      <c r="AJ127" s="14" t="s">
        <v>19</v>
      </c>
      <c r="AK127" s="15">
        <v>1113</v>
      </c>
      <c r="AL127" s="14" t="s">
        <v>63</v>
      </c>
      <c r="AM127" s="14" t="s">
        <v>10</v>
      </c>
      <c r="AN127" s="14" t="str">
        <f t="shared" si="4"/>
        <v>Wt</v>
      </c>
      <c r="AO127" s="16">
        <v>53</v>
      </c>
      <c r="AP127" s="15">
        <v>1113</v>
      </c>
      <c r="AQ127" s="16">
        <v>490</v>
      </c>
      <c r="AR127" s="17">
        <v>90</v>
      </c>
      <c r="AS127" s="17">
        <v>62</v>
      </c>
      <c r="AT127" s="17">
        <v>73</v>
      </c>
      <c r="AU127" s="17">
        <v>93</v>
      </c>
      <c r="AV127" s="17">
        <v>318</v>
      </c>
      <c r="AW127" s="11" t="s">
        <v>71</v>
      </c>
      <c r="BA127" s="14" t="s">
        <v>51</v>
      </c>
      <c r="BB127" s="16">
        <f t="shared" si="5"/>
        <v>2</v>
      </c>
    </row>
    <row r="128" spans="1:54" ht="14.25" customHeight="1" thickBot="1">
      <c r="A128" s="13">
        <v>40565</v>
      </c>
      <c r="B128" s="14" t="s">
        <v>16</v>
      </c>
      <c r="C128" s="14" t="s">
        <v>19</v>
      </c>
      <c r="D128" s="16">
        <v>770</v>
      </c>
      <c r="E128" s="14" t="s">
        <v>63</v>
      </c>
      <c r="F128" s="14" t="s">
        <v>13</v>
      </c>
      <c r="G128" s="14" t="s">
        <v>52</v>
      </c>
      <c r="H128" s="16">
        <v>35</v>
      </c>
      <c r="I128" s="16">
        <v>770</v>
      </c>
      <c r="J128" s="16">
        <v>350</v>
      </c>
      <c r="K128" s="17">
        <v>96</v>
      </c>
      <c r="L128" s="17">
        <v>89</v>
      </c>
      <c r="M128" s="17">
        <v>90</v>
      </c>
      <c r="N128" s="17">
        <v>85</v>
      </c>
      <c r="O128" s="17">
        <v>360</v>
      </c>
      <c r="P128" s="11" t="s">
        <v>65</v>
      </c>
      <c r="Q128" s="11"/>
      <c r="R128" s="11"/>
      <c r="S128" s="36">
        <v>315</v>
      </c>
      <c r="AH128" s="13">
        <v>40559</v>
      </c>
      <c r="AI128" s="14" t="str">
        <f t="shared" si="3"/>
        <v>BELLEN</v>
      </c>
      <c r="AJ128" s="14" t="s">
        <v>22</v>
      </c>
      <c r="AK128" s="15">
        <v>1232</v>
      </c>
      <c r="AL128" s="14" t="s">
        <v>83</v>
      </c>
      <c r="AM128" s="14" t="s">
        <v>13</v>
      </c>
      <c r="AN128" s="14" t="str">
        <f t="shared" si="4"/>
        <v>Ytr</v>
      </c>
      <c r="AO128" s="16">
        <v>56</v>
      </c>
      <c r="AP128" s="15">
        <v>1232</v>
      </c>
      <c r="AQ128" s="16">
        <v>560</v>
      </c>
      <c r="AR128" s="17">
        <v>91</v>
      </c>
      <c r="AS128" s="17">
        <v>99</v>
      </c>
      <c r="AT128" s="17">
        <v>74</v>
      </c>
      <c r="AU128" s="17">
        <v>88</v>
      </c>
      <c r="AV128" s="17">
        <v>352</v>
      </c>
      <c r="AW128" s="11" t="s">
        <v>71</v>
      </c>
      <c r="BA128" s="14" t="s">
        <v>51</v>
      </c>
      <c r="BB128" s="16">
        <f t="shared" si="5"/>
        <v>2</v>
      </c>
    </row>
    <row r="129" spans="1:54" ht="14.25" customHeight="1" thickBot="1">
      <c r="A129" s="13">
        <v>40561</v>
      </c>
      <c r="B129" s="14" t="s">
        <v>8</v>
      </c>
      <c r="C129" s="14" t="s">
        <v>26</v>
      </c>
      <c r="D129" s="15">
        <v>1219</v>
      </c>
      <c r="E129" s="14" t="s">
        <v>83</v>
      </c>
      <c r="F129" s="14" t="s">
        <v>24</v>
      </c>
      <c r="G129" s="14" t="s">
        <v>52</v>
      </c>
      <c r="H129" s="16">
        <v>53</v>
      </c>
      <c r="I129" s="15">
        <v>1219</v>
      </c>
      <c r="J129" s="16">
        <v>583</v>
      </c>
      <c r="K129" s="17">
        <v>70</v>
      </c>
      <c r="L129" s="17">
        <v>84</v>
      </c>
      <c r="M129" s="17">
        <v>87</v>
      </c>
      <c r="N129" s="17">
        <v>89</v>
      </c>
      <c r="O129" s="17">
        <v>330</v>
      </c>
      <c r="P129" s="11" t="s">
        <v>65</v>
      </c>
      <c r="Q129" s="11"/>
      <c r="R129" s="11"/>
      <c r="S129" s="36">
        <v>316</v>
      </c>
      <c r="AH129" s="13">
        <v>40589</v>
      </c>
      <c r="AI129" s="14" t="str">
        <f t="shared" si="3"/>
        <v>QUAD</v>
      </c>
      <c r="AJ129" s="14" t="s">
        <v>22</v>
      </c>
      <c r="AK129" s="15">
        <v>1232</v>
      </c>
      <c r="AL129" s="14" t="s">
        <v>83</v>
      </c>
      <c r="AM129" s="14" t="s">
        <v>13</v>
      </c>
      <c r="AN129" s="14" t="str">
        <f t="shared" si="4"/>
        <v>Ytr</v>
      </c>
      <c r="AO129" s="16">
        <v>56</v>
      </c>
      <c r="AP129" s="15">
        <v>1232</v>
      </c>
      <c r="AQ129" s="16">
        <v>560</v>
      </c>
      <c r="AR129" s="17">
        <v>84</v>
      </c>
      <c r="AS129" s="17">
        <v>64</v>
      </c>
      <c r="AT129" s="17">
        <v>65</v>
      </c>
      <c r="AU129" s="17">
        <v>74</v>
      </c>
      <c r="AV129" s="17">
        <v>287</v>
      </c>
      <c r="AW129" s="11" t="s">
        <v>71</v>
      </c>
      <c r="BA129" s="14" t="s">
        <v>51</v>
      </c>
      <c r="BB129" s="16">
        <f t="shared" si="5"/>
        <v>2</v>
      </c>
    </row>
    <row r="130" spans="1:54" ht="14.25" customHeight="1" thickBot="1">
      <c r="A130" s="13">
        <v>40571</v>
      </c>
      <c r="B130" s="14" t="s">
        <v>12</v>
      </c>
      <c r="C130" s="14" t="s">
        <v>22</v>
      </c>
      <c r="D130" s="15">
        <v>1134</v>
      </c>
      <c r="E130" s="14" t="s">
        <v>83</v>
      </c>
      <c r="F130" s="14" t="s">
        <v>24</v>
      </c>
      <c r="G130" s="14" t="s">
        <v>52</v>
      </c>
      <c r="H130" s="16">
        <v>42</v>
      </c>
      <c r="I130" s="15">
        <v>1134</v>
      </c>
      <c r="J130" s="16">
        <v>609</v>
      </c>
      <c r="K130" s="17">
        <v>70</v>
      </c>
      <c r="L130" s="17">
        <v>90</v>
      </c>
      <c r="M130" s="17">
        <v>82</v>
      </c>
      <c r="N130" s="17">
        <v>81</v>
      </c>
      <c r="O130" s="17">
        <v>323</v>
      </c>
      <c r="P130" s="11" t="s">
        <v>65</v>
      </c>
      <c r="Q130" s="11"/>
      <c r="R130" s="11"/>
      <c r="S130" s="36">
        <v>317</v>
      </c>
      <c r="AH130" s="13">
        <v>40565</v>
      </c>
      <c r="AI130" s="14" t="str">
        <f t="shared" si="3"/>
        <v>BELLEN</v>
      </c>
      <c r="AJ130" s="14" t="s">
        <v>19</v>
      </c>
      <c r="AK130" s="16">
        <v>770</v>
      </c>
      <c r="AL130" s="14" t="s">
        <v>63</v>
      </c>
      <c r="AM130" s="14" t="s">
        <v>13</v>
      </c>
      <c r="AN130" s="14" t="str">
        <f t="shared" si="4"/>
        <v>Ytr</v>
      </c>
      <c r="AO130" s="16">
        <v>35</v>
      </c>
      <c r="AP130" s="16">
        <v>770</v>
      </c>
      <c r="AQ130" s="16">
        <v>350</v>
      </c>
      <c r="AR130" s="17">
        <v>96</v>
      </c>
      <c r="AS130" s="17">
        <v>89</v>
      </c>
      <c r="AT130" s="17">
        <v>90</v>
      </c>
      <c r="AU130" s="17">
        <v>85</v>
      </c>
      <c r="AV130" s="17">
        <v>360</v>
      </c>
      <c r="AW130" s="11" t="s">
        <v>65</v>
      </c>
      <c r="BA130" s="14" t="s">
        <v>51</v>
      </c>
      <c r="BB130" s="16">
        <f t="shared" si="5"/>
        <v>2</v>
      </c>
    </row>
    <row r="131" spans="1:54" ht="14.25" customHeight="1" thickBot="1">
      <c r="A131" s="13">
        <v>40571</v>
      </c>
      <c r="B131" s="14" t="s">
        <v>12</v>
      </c>
      <c r="C131" s="14" t="s">
        <v>26</v>
      </c>
      <c r="D131" s="15">
        <v>1188</v>
      </c>
      <c r="E131" s="14" t="s">
        <v>83</v>
      </c>
      <c r="F131" s="14" t="s">
        <v>15</v>
      </c>
      <c r="G131" s="14" t="s">
        <v>52</v>
      </c>
      <c r="H131" s="16">
        <v>44</v>
      </c>
      <c r="I131" s="15">
        <v>1188</v>
      </c>
      <c r="J131" s="16">
        <v>638</v>
      </c>
      <c r="K131" s="17">
        <v>96</v>
      </c>
      <c r="L131" s="17">
        <v>65</v>
      </c>
      <c r="M131" s="17">
        <v>97</v>
      </c>
      <c r="N131" s="17">
        <v>61</v>
      </c>
      <c r="O131" s="17">
        <v>319</v>
      </c>
      <c r="P131" s="11" t="s">
        <v>71</v>
      </c>
      <c r="Q131" s="11"/>
      <c r="R131" s="11"/>
      <c r="S131" s="36">
        <v>318</v>
      </c>
      <c r="AH131" s="13">
        <v>40561</v>
      </c>
      <c r="AI131" s="14" t="str">
        <f t="shared" si="3"/>
        <v>CARLOTA</v>
      </c>
      <c r="AJ131" s="14" t="s">
        <v>26</v>
      </c>
      <c r="AK131" s="15">
        <v>1219</v>
      </c>
      <c r="AL131" s="14" t="s">
        <v>83</v>
      </c>
      <c r="AM131" s="14" t="s">
        <v>24</v>
      </c>
      <c r="AN131" s="14" t="str">
        <f t="shared" si="4"/>
        <v>Ytr</v>
      </c>
      <c r="AO131" s="16">
        <v>53</v>
      </c>
      <c r="AP131" s="15">
        <v>1219</v>
      </c>
      <c r="AQ131" s="16">
        <v>583</v>
      </c>
      <c r="AR131" s="17">
        <v>70</v>
      </c>
      <c r="AS131" s="17">
        <v>84</v>
      </c>
      <c r="AT131" s="17">
        <v>87</v>
      </c>
      <c r="AU131" s="17">
        <v>89</v>
      </c>
      <c r="AV131" s="17">
        <v>330</v>
      </c>
      <c r="AW131" s="11" t="s">
        <v>65</v>
      </c>
      <c r="BA131" s="14" t="s">
        <v>51</v>
      </c>
      <c r="BB131" s="16">
        <f t="shared" si="5"/>
        <v>2</v>
      </c>
    </row>
    <row r="132" spans="1:54" ht="14.25" customHeight="1" thickBot="1">
      <c r="A132" s="13">
        <v>40616</v>
      </c>
      <c r="B132" s="14" t="s">
        <v>12</v>
      </c>
      <c r="C132" s="14" t="s">
        <v>26</v>
      </c>
      <c r="D132" s="15">
        <v>1188</v>
      </c>
      <c r="E132" s="14" t="s">
        <v>83</v>
      </c>
      <c r="F132" s="14" t="s">
        <v>15</v>
      </c>
      <c r="G132" s="14" t="s">
        <v>52</v>
      </c>
      <c r="H132" s="16">
        <v>44</v>
      </c>
      <c r="I132" s="15">
        <v>1188</v>
      </c>
      <c r="J132" s="16">
        <v>638</v>
      </c>
      <c r="K132" s="17">
        <v>70</v>
      </c>
      <c r="L132" s="17">
        <v>75</v>
      </c>
      <c r="M132" s="17">
        <v>100</v>
      </c>
      <c r="N132" s="17">
        <v>82</v>
      </c>
      <c r="O132" s="17">
        <v>327</v>
      </c>
      <c r="P132" s="11" t="s">
        <v>71</v>
      </c>
      <c r="Q132" s="11"/>
      <c r="R132" s="11"/>
      <c r="S132" s="36">
        <v>319</v>
      </c>
      <c r="AH132" s="13">
        <v>40571</v>
      </c>
      <c r="AI132" s="14" t="str">
        <f t="shared" si="3"/>
        <v>QUAD</v>
      </c>
      <c r="AJ132" s="14" t="s">
        <v>22</v>
      </c>
      <c r="AK132" s="15">
        <v>1134</v>
      </c>
      <c r="AL132" s="14" t="s">
        <v>83</v>
      </c>
      <c r="AM132" s="14" t="s">
        <v>24</v>
      </c>
      <c r="AN132" s="14" t="str">
        <f t="shared" si="4"/>
        <v>Ytr</v>
      </c>
      <c r="AO132" s="16">
        <v>42</v>
      </c>
      <c r="AP132" s="15">
        <v>1134</v>
      </c>
      <c r="AQ132" s="16">
        <v>609</v>
      </c>
      <c r="AR132" s="17">
        <v>70</v>
      </c>
      <c r="AS132" s="17">
        <v>90</v>
      </c>
      <c r="AT132" s="17">
        <v>82</v>
      </c>
      <c r="AU132" s="17">
        <v>81</v>
      </c>
      <c r="AV132" s="17">
        <v>323</v>
      </c>
      <c r="AW132" s="11" t="s">
        <v>65</v>
      </c>
      <c r="BA132" s="14" t="s">
        <v>52</v>
      </c>
      <c r="BB132" s="16">
        <f t="shared" si="5"/>
        <v>3</v>
      </c>
    </row>
    <row r="133" spans="1:54" ht="14.25" customHeight="1" thickBot="1">
      <c r="A133" s="13">
        <v>40558</v>
      </c>
      <c r="B133" s="14" t="s">
        <v>14</v>
      </c>
      <c r="C133" s="14" t="s">
        <v>22</v>
      </c>
      <c r="D133" s="16">
        <v>209</v>
      </c>
      <c r="E133" s="14" t="s">
        <v>83</v>
      </c>
      <c r="F133" s="14" t="s">
        <v>17</v>
      </c>
      <c r="G133" s="14" t="s">
        <v>52</v>
      </c>
      <c r="H133" s="16">
        <v>11</v>
      </c>
      <c r="I133" s="16">
        <v>209</v>
      </c>
      <c r="J133" s="16">
        <v>88</v>
      </c>
      <c r="K133" s="17">
        <v>62</v>
      </c>
      <c r="L133" s="17">
        <v>95</v>
      </c>
      <c r="M133" s="17">
        <v>76</v>
      </c>
      <c r="N133" s="17">
        <v>71</v>
      </c>
      <c r="O133" s="17">
        <v>304</v>
      </c>
      <c r="P133" s="11" t="s">
        <v>65</v>
      </c>
      <c r="Q133" s="11"/>
      <c r="R133" s="11"/>
      <c r="S133" s="36">
        <v>320</v>
      </c>
      <c r="AH133" s="13">
        <v>40571</v>
      </c>
      <c r="AI133" s="14" t="str">
        <f t="shared" ref="AI133:AI138" si="6">UPPER(B131)</f>
        <v>QUAD</v>
      </c>
      <c r="AJ133" s="14" t="s">
        <v>26</v>
      </c>
      <c r="AK133" s="15">
        <v>1188</v>
      </c>
      <c r="AL133" s="14" t="s">
        <v>83</v>
      </c>
      <c r="AM133" s="14" t="s">
        <v>15</v>
      </c>
      <c r="AN133" s="14" t="str">
        <f t="shared" ref="AN133:AN138" si="7">PROPER(G131)</f>
        <v>Ytr</v>
      </c>
      <c r="AO133" s="16">
        <v>44</v>
      </c>
      <c r="AP133" s="15">
        <v>1188</v>
      </c>
      <c r="AQ133" s="16">
        <v>638</v>
      </c>
      <c r="AR133" s="17">
        <v>96</v>
      </c>
      <c r="AS133" s="17">
        <v>65</v>
      </c>
      <c r="AT133" s="17">
        <v>97</v>
      </c>
      <c r="AU133" s="17">
        <v>61</v>
      </c>
      <c r="AV133" s="17">
        <v>319</v>
      </c>
      <c r="AW133" s="11" t="s">
        <v>71</v>
      </c>
      <c r="BA133" s="14" t="s">
        <v>52</v>
      </c>
      <c r="BB133" s="16">
        <f t="shared" si="5"/>
        <v>3</v>
      </c>
    </row>
    <row r="134" spans="1:54" ht="14.25" customHeight="1" thickBot="1">
      <c r="A134" s="13">
        <v>40588</v>
      </c>
      <c r="B134" s="14" t="s">
        <v>14</v>
      </c>
      <c r="C134" s="14" t="s">
        <v>22</v>
      </c>
      <c r="D134" s="16">
        <v>209</v>
      </c>
      <c r="E134" s="14" t="s">
        <v>83</v>
      </c>
      <c r="F134" s="14" t="s">
        <v>17</v>
      </c>
      <c r="G134" s="14" t="s">
        <v>52</v>
      </c>
      <c r="H134" s="16">
        <v>11</v>
      </c>
      <c r="I134" s="16">
        <v>209</v>
      </c>
      <c r="J134" s="16">
        <v>88</v>
      </c>
      <c r="K134" s="17">
        <v>67</v>
      </c>
      <c r="L134" s="17">
        <v>93</v>
      </c>
      <c r="M134" s="17">
        <v>79</v>
      </c>
      <c r="N134" s="17">
        <v>71</v>
      </c>
      <c r="O134" s="17">
        <v>310</v>
      </c>
      <c r="P134" s="11" t="s">
        <v>71</v>
      </c>
      <c r="Q134" s="11"/>
      <c r="R134" s="11"/>
      <c r="S134" s="36">
        <v>322</v>
      </c>
      <c r="AH134" s="13">
        <v>40616</v>
      </c>
      <c r="AI134" s="14" t="str">
        <f t="shared" si="6"/>
        <v>QUAD</v>
      </c>
      <c r="AJ134" s="14" t="s">
        <v>26</v>
      </c>
      <c r="AK134" s="15">
        <v>1188</v>
      </c>
      <c r="AL134" s="14" t="s">
        <v>83</v>
      </c>
      <c r="AM134" s="14" t="s">
        <v>15</v>
      </c>
      <c r="AN134" s="14" t="str">
        <f t="shared" si="7"/>
        <v>Ytr</v>
      </c>
      <c r="AO134" s="16">
        <v>44</v>
      </c>
      <c r="AP134" s="15">
        <v>1188</v>
      </c>
      <c r="AQ134" s="16">
        <v>638</v>
      </c>
      <c r="AR134" s="17">
        <v>70</v>
      </c>
      <c r="AS134" s="17">
        <v>75</v>
      </c>
      <c r="AT134" s="17">
        <v>100</v>
      </c>
      <c r="AU134" s="17">
        <v>82</v>
      </c>
      <c r="AV134" s="17">
        <v>327</v>
      </c>
      <c r="AW134" s="11" t="s">
        <v>71</v>
      </c>
      <c r="BA134" s="14" t="s">
        <v>52</v>
      </c>
      <c r="BB134" s="16">
        <f t="shared" si="5"/>
        <v>3</v>
      </c>
    </row>
    <row r="135" spans="1:54" ht="14.25" customHeight="1" thickBot="1">
      <c r="A135" s="13">
        <v>40563</v>
      </c>
      <c r="B135" s="14" t="s">
        <v>14</v>
      </c>
      <c r="C135" s="14" t="s">
        <v>19</v>
      </c>
      <c r="D135" s="15">
        <v>1102</v>
      </c>
      <c r="E135" s="14" t="s">
        <v>63</v>
      </c>
      <c r="F135" s="14" t="s">
        <v>13</v>
      </c>
      <c r="G135" s="14" t="s">
        <v>52</v>
      </c>
      <c r="H135" s="16">
        <v>58</v>
      </c>
      <c r="I135" s="15">
        <v>1102</v>
      </c>
      <c r="J135" s="16">
        <v>464</v>
      </c>
      <c r="K135" s="17">
        <v>71</v>
      </c>
      <c r="L135" s="17">
        <v>60</v>
      </c>
      <c r="M135" s="17">
        <v>73</v>
      </c>
      <c r="N135" s="17">
        <v>74</v>
      </c>
      <c r="O135" s="17">
        <v>278</v>
      </c>
      <c r="P135" s="11" t="s">
        <v>65</v>
      </c>
      <c r="Q135" s="11"/>
      <c r="R135" s="11"/>
      <c r="S135" s="36">
        <v>323</v>
      </c>
      <c r="AH135" s="13">
        <v>40558</v>
      </c>
      <c r="AI135" s="14" t="str">
        <f t="shared" si="6"/>
        <v>SUNSHINE</v>
      </c>
      <c r="AJ135" s="14" t="s">
        <v>22</v>
      </c>
      <c r="AK135" s="16">
        <v>209</v>
      </c>
      <c r="AL135" s="14" t="s">
        <v>83</v>
      </c>
      <c r="AM135" s="14" t="s">
        <v>17</v>
      </c>
      <c r="AN135" s="14" t="str">
        <f t="shared" si="7"/>
        <v>Ytr</v>
      </c>
      <c r="AO135" s="16">
        <v>11</v>
      </c>
      <c r="AP135" s="16">
        <v>209</v>
      </c>
      <c r="AQ135" s="16">
        <v>88</v>
      </c>
      <c r="AR135" s="17">
        <v>62</v>
      </c>
      <c r="AS135" s="17">
        <v>95</v>
      </c>
      <c r="AT135" s="17">
        <v>76</v>
      </c>
      <c r="AU135" s="17">
        <v>71</v>
      </c>
      <c r="AV135" s="17">
        <v>304</v>
      </c>
      <c r="AW135" s="11" t="s">
        <v>65</v>
      </c>
      <c r="BA135" s="14" t="s">
        <v>52</v>
      </c>
      <c r="BB135" s="16">
        <f t="shared" si="5"/>
        <v>3</v>
      </c>
    </row>
    <row r="136" spans="1:54" ht="14.25" customHeight="1" thickBot="1">
      <c r="A136" s="13">
        <v>40571</v>
      </c>
      <c r="B136" s="14" t="s">
        <v>20</v>
      </c>
      <c r="C136" s="14" t="s">
        <v>9</v>
      </c>
      <c r="D136" s="16">
        <v>756</v>
      </c>
      <c r="E136" s="14" t="s">
        <v>63</v>
      </c>
      <c r="F136" s="14" t="s">
        <v>24</v>
      </c>
      <c r="G136" s="14" t="s">
        <v>53</v>
      </c>
      <c r="H136" s="16">
        <v>36</v>
      </c>
      <c r="I136" s="16">
        <v>756</v>
      </c>
      <c r="J136" s="16">
        <v>333</v>
      </c>
      <c r="K136" s="17">
        <v>100</v>
      </c>
      <c r="L136" s="17">
        <v>100</v>
      </c>
      <c r="M136" s="17">
        <v>99</v>
      </c>
      <c r="N136" s="17">
        <v>86</v>
      </c>
      <c r="O136" s="17">
        <v>385</v>
      </c>
      <c r="P136" s="11" t="s">
        <v>65</v>
      </c>
      <c r="Q136" s="11"/>
      <c r="R136" s="11"/>
      <c r="S136" s="36">
        <v>325</v>
      </c>
      <c r="AH136" s="13">
        <v>40588</v>
      </c>
      <c r="AI136" s="14" t="str">
        <f t="shared" si="6"/>
        <v>SUNSHINE</v>
      </c>
      <c r="AJ136" s="14" t="s">
        <v>22</v>
      </c>
      <c r="AK136" s="16">
        <v>209</v>
      </c>
      <c r="AL136" s="14" t="s">
        <v>83</v>
      </c>
      <c r="AM136" s="14" t="s">
        <v>17</v>
      </c>
      <c r="AN136" s="14" t="str">
        <f t="shared" si="7"/>
        <v>Ytr</v>
      </c>
      <c r="AO136" s="16">
        <v>11</v>
      </c>
      <c r="AP136" s="16">
        <v>209</v>
      </c>
      <c r="AQ136" s="16">
        <v>88</v>
      </c>
      <c r="AR136" s="17">
        <v>67</v>
      </c>
      <c r="AS136" s="17">
        <v>93</v>
      </c>
      <c r="AT136" s="17">
        <v>79</v>
      </c>
      <c r="AU136" s="17">
        <v>71</v>
      </c>
      <c r="AV136" s="17">
        <v>310</v>
      </c>
      <c r="AW136" s="11" t="s">
        <v>71</v>
      </c>
      <c r="BA136" s="14" t="s">
        <v>52</v>
      </c>
      <c r="BB136" s="16">
        <f t="shared" si="5"/>
        <v>3</v>
      </c>
    </row>
    <row r="137" spans="1:54" ht="15" customHeight="1" thickBot="1">
      <c r="S137" s="36">
        <v>326</v>
      </c>
      <c r="AH137" s="13">
        <v>40563</v>
      </c>
      <c r="AI137" s="14" t="str">
        <f t="shared" si="6"/>
        <v>SUNSHINE</v>
      </c>
      <c r="AJ137" s="14" t="s">
        <v>19</v>
      </c>
      <c r="AK137" s="15">
        <v>1102</v>
      </c>
      <c r="AL137" s="14" t="s">
        <v>63</v>
      </c>
      <c r="AM137" s="14" t="s">
        <v>13</v>
      </c>
      <c r="AN137" s="14" t="str">
        <f t="shared" si="7"/>
        <v>Ytr</v>
      </c>
      <c r="AO137" s="16">
        <v>58</v>
      </c>
      <c r="AP137" s="15">
        <v>1102</v>
      </c>
      <c r="AQ137" s="16">
        <v>464</v>
      </c>
      <c r="AR137" s="17">
        <v>71</v>
      </c>
      <c r="AS137" s="17">
        <v>60</v>
      </c>
      <c r="AT137" s="17">
        <v>73</v>
      </c>
      <c r="AU137" s="17">
        <v>74</v>
      </c>
      <c r="AV137" s="17">
        <v>278</v>
      </c>
      <c r="AW137" s="11" t="s">
        <v>65</v>
      </c>
      <c r="BA137" s="14" t="s">
        <v>52</v>
      </c>
      <c r="BB137" s="16">
        <f t="shared" ref="BB137:BB142" si="8">LEN(BA137)</f>
        <v>3</v>
      </c>
    </row>
    <row r="138" spans="1:54" ht="15" customHeight="1" thickBot="1">
      <c r="S138" s="36">
        <v>327</v>
      </c>
      <c r="AH138" s="13">
        <v>40571</v>
      </c>
      <c r="AI138" s="14" t="str">
        <f t="shared" si="6"/>
        <v>SUNSET</v>
      </c>
      <c r="AJ138" s="14" t="s">
        <v>9</v>
      </c>
      <c r="AK138" s="16">
        <v>756</v>
      </c>
      <c r="AL138" s="14" t="s">
        <v>63</v>
      </c>
      <c r="AM138" s="14" t="s">
        <v>24</v>
      </c>
      <c r="AN138" s="14" t="str">
        <f t="shared" si="7"/>
        <v>Zat</v>
      </c>
      <c r="AO138" s="16">
        <v>36</v>
      </c>
      <c r="AP138" s="16">
        <v>756</v>
      </c>
      <c r="AQ138" s="16">
        <v>333</v>
      </c>
      <c r="AR138" s="17">
        <v>100</v>
      </c>
      <c r="AS138" s="17">
        <v>100</v>
      </c>
      <c r="AT138" s="17">
        <v>99</v>
      </c>
      <c r="AU138" s="17">
        <v>86</v>
      </c>
      <c r="AV138" s="17">
        <v>385</v>
      </c>
      <c r="AW138" s="11" t="s">
        <v>65</v>
      </c>
      <c r="BA138" s="14" t="s">
        <v>52</v>
      </c>
      <c r="BB138" s="16">
        <f t="shared" si="8"/>
        <v>3</v>
      </c>
    </row>
    <row r="139" spans="1:54" ht="15" customHeight="1" thickBot="1">
      <c r="A139" t="s">
        <v>320</v>
      </c>
      <c r="S139" s="36">
        <v>329</v>
      </c>
      <c r="BA139" s="14" t="s">
        <v>52</v>
      </c>
      <c r="BB139" s="16">
        <f t="shared" si="8"/>
        <v>3</v>
      </c>
    </row>
    <row r="140" spans="1:54" ht="15" customHeight="1" thickBot="1">
      <c r="A140" s="8" t="s">
        <v>0</v>
      </c>
      <c r="B140" s="9" t="s">
        <v>1</v>
      </c>
      <c r="C140" s="9" t="s">
        <v>2</v>
      </c>
      <c r="D140" s="9" t="s">
        <v>54</v>
      </c>
      <c r="E140" s="9" t="s">
        <v>55</v>
      </c>
      <c r="F140" s="9" t="s">
        <v>3</v>
      </c>
      <c r="G140" s="9" t="s">
        <v>4</v>
      </c>
      <c r="H140" s="9" t="s">
        <v>5</v>
      </c>
      <c r="I140" s="9" t="s">
        <v>54</v>
      </c>
      <c r="J140" s="9" t="s">
        <v>7</v>
      </c>
      <c r="K140" s="10" t="s">
        <v>56</v>
      </c>
      <c r="L140" s="10" t="s">
        <v>57</v>
      </c>
      <c r="M140" s="10" t="s">
        <v>58</v>
      </c>
      <c r="N140" s="10" t="s">
        <v>59</v>
      </c>
      <c r="O140" s="10" t="s">
        <v>60</v>
      </c>
      <c r="P140" s="10" t="s">
        <v>61</v>
      </c>
      <c r="S140" s="36">
        <v>330</v>
      </c>
      <c r="BA140" s="14" t="s">
        <v>52</v>
      </c>
      <c r="BB140" s="16">
        <f t="shared" si="8"/>
        <v>3</v>
      </c>
    </row>
    <row r="141" spans="1:54" ht="15" customHeight="1" thickBot="1">
      <c r="A141" s="13">
        <v>40565</v>
      </c>
      <c r="B141" s="14" t="s">
        <v>16</v>
      </c>
      <c r="C141" s="14" t="s">
        <v>19</v>
      </c>
      <c r="D141" s="15">
        <v>1166</v>
      </c>
      <c r="E141" s="14" t="s">
        <v>63</v>
      </c>
      <c r="F141" s="14" t="s">
        <v>10</v>
      </c>
      <c r="G141" s="14" t="s">
        <v>18</v>
      </c>
      <c r="H141" s="16">
        <v>53</v>
      </c>
      <c r="I141" s="15">
        <v>1166</v>
      </c>
      <c r="J141" s="16">
        <v>530</v>
      </c>
      <c r="K141" s="17">
        <v>91</v>
      </c>
      <c r="L141" s="17">
        <v>65</v>
      </c>
      <c r="M141" s="17">
        <v>66</v>
      </c>
      <c r="N141" s="17">
        <v>61</v>
      </c>
      <c r="O141" s="17">
        <v>283</v>
      </c>
      <c r="P141" s="11" t="s">
        <v>65</v>
      </c>
      <c r="S141" s="36">
        <v>331</v>
      </c>
      <c r="BA141" s="14" t="s">
        <v>52</v>
      </c>
      <c r="BB141" s="16">
        <f t="shared" si="8"/>
        <v>3</v>
      </c>
    </row>
    <row r="142" spans="1:54" ht="15" customHeight="1" thickBot="1">
      <c r="A142" s="13">
        <v>40610</v>
      </c>
      <c r="B142" s="14" t="s">
        <v>16</v>
      </c>
      <c r="C142" s="14" t="s">
        <v>19</v>
      </c>
      <c r="D142" s="15">
        <v>1166</v>
      </c>
      <c r="E142" s="14" t="s">
        <v>63</v>
      </c>
      <c r="F142" s="14" t="s">
        <v>10</v>
      </c>
      <c r="G142" s="14" t="s">
        <v>18</v>
      </c>
      <c r="H142" s="16">
        <v>53</v>
      </c>
      <c r="I142" s="15">
        <v>1166</v>
      </c>
      <c r="J142" s="16">
        <v>530</v>
      </c>
      <c r="K142" s="17">
        <v>92</v>
      </c>
      <c r="L142" s="17">
        <v>79</v>
      </c>
      <c r="M142" s="17">
        <v>98</v>
      </c>
      <c r="N142" s="17">
        <v>61</v>
      </c>
      <c r="O142" s="17">
        <v>330</v>
      </c>
      <c r="P142" s="11" t="s">
        <v>71</v>
      </c>
      <c r="S142" s="36">
        <v>332</v>
      </c>
      <c r="BA142" s="14" t="s">
        <v>53</v>
      </c>
      <c r="BB142" s="16">
        <f t="shared" si="8"/>
        <v>3</v>
      </c>
    </row>
    <row r="143" spans="1:54" ht="15" customHeight="1" thickBot="1">
      <c r="A143" s="13">
        <v>40561</v>
      </c>
      <c r="B143" s="14" t="s">
        <v>16</v>
      </c>
      <c r="C143" s="14" t="s">
        <v>9</v>
      </c>
      <c r="D143" s="16">
        <v>440</v>
      </c>
      <c r="E143" s="14" t="s">
        <v>63</v>
      </c>
      <c r="F143" s="14" t="s">
        <v>15</v>
      </c>
      <c r="G143" s="14" t="s">
        <v>25</v>
      </c>
      <c r="H143" s="16">
        <v>20</v>
      </c>
      <c r="I143" s="16">
        <v>440</v>
      </c>
      <c r="J143" s="16">
        <v>200</v>
      </c>
      <c r="K143" s="17">
        <v>93</v>
      </c>
      <c r="L143" s="17">
        <v>87</v>
      </c>
      <c r="M143" s="17">
        <v>78</v>
      </c>
      <c r="N143" s="17">
        <v>75</v>
      </c>
      <c r="O143" s="17">
        <v>333</v>
      </c>
      <c r="P143" s="11" t="s">
        <v>71</v>
      </c>
      <c r="S143" s="36">
        <v>333</v>
      </c>
    </row>
    <row r="144" spans="1:54" ht="15" customHeight="1" thickBot="1">
      <c r="A144" s="13">
        <v>40566</v>
      </c>
      <c r="B144" s="14" t="s">
        <v>16</v>
      </c>
      <c r="C144" s="14" t="s">
        <v>9</v>
      </c>
      <c r="D144" s="16">
        <v>198</v>
      </c>
      <c r="E144" s="14" t="s">
        <v>63</v>
      </c>
      <c r="F144" s="14" t="s">
        <v>21</v>
      </c>
      <c r="G144" s="14" t="s">
        <v>25</v>
      </c>
      <c r="H144" s="16">
        <v>9</v>
      </c>
      <c r="I144" s="16">
        <v>198</v>
      </c>
      <c r="J144" s="16">
        <v>90</v>
      </c>
      <c r="K144" s="17">
        <v>71</v>
      </c>
      <c r="L144" s="17">
        <v>71</v>
      </c>
      <c r="M144" s="17">
        <v>88</v>
      </c>
      <c r="N144" s="17">
        <v>77</v>
      </c>
      <c r="O144" s="17">
        <v>307</v>
      </c>
      <c r="P144" s="11" t="s">
        <v>71</v>
      </c>
      <c r="S144" s="36">
        <v>335</v>
      </c>
    </row>
    <row r="145" spans="1:19" ht="15" customHeight="1" thickBot="1">
      <c r="A145" s="13">
        <v>40611</v>
      </c>
      <c r="B145" s="14" t="s">
        <v>16</v>
      </c>
      <c r="C145" s="14" t="s">
        <v>9</v>
      </c>
      <c r="D145" s="16">
        <v>198</v>
      </c>
      <c r="E145" s="14" t="s">
        <v>63</v>
      </c>
      <c r="F145" s="14" t="s">
        <v>21</v>
      </c>
      <c r="G145" s="14" t="s">
        <v>25</v>
      </c>
      <c r="H145" s="16">
        <v>9</v>
      </c>
      <c r="I145" s="16">
        <v>198</v>
      </c>
      <c r="J145" s="16">
        <v>90</v>
      </c>
      <c r="K145" s="17">
        <v>67</v>
      </c>
      <c r="L145" s="17">
        <v>99</v>
      </c>
      <c r="M145" s="17">
        <v>94</v>
      </c>
      <c r="N145" s="17">
        <v>87</v>
      </c>
      <c r="O145" s="17">
        <v>347</v>
      </c>
      <c r="P145" s="11" t="s">
        <v>71</v>
      </c>
      <c r="S145" s="36">
        <v>336</v>
      </c>
    </row>
    <row r="146" spans="1:19" ht="15" customHeight="1" thickBot="1">
      <c r="A146" s="13">
        <v>40561</v>
      </c>
      <c r="B146" s="14" t="s">
        <v>16</v>
      </c>
      <c r="C146" s="14" t="s">
        <v>9</v>
      </c>
      <c r="D146" s="15">
        <v>1298</v>
      </c>
      <c r="E146" s="14" t="s">
        <v>63</v>
      </c>
      <c r="F146" s="14" t="s">
        <v>10</v>
      </c>
      <c r="G146" s="14" t="s">
        <v>27</v>
      </c>
      <c r="H146" s="16">
        <v>59</v>
      </c>
      <c r="I146" s="15">
        <v>1298</v>
      </c>
      <c r="J146" s="16">
        <v>590</v>
      </c>
      <c r="K146" s="17">
        <v>96</v>
      </c>
      <c r="L146" s="17">
        <v>91</v>
      </c>
      <c r="M146" s="17">
        <v>89</v>
      </c>
      <c r="N146" s="17">
        <v>64</v>
      </c>
      <c r="O146" s="17">
        <v>340</v>
      </c>
      <c r="P146" s="11" t="s">
        <v>65</v>
      </c>
      <c r="S146" s="36">
        <v>337</v>
      </c>
    </row>
    <row r="147" spans="1:19" ht="15" customHeight="1" thickBot="1">
      <c r="A147" s="13">
        <v>40552</v>
      </c>
      <c r="B147" s="14" t="s">
        <v>16</v>
      </c>
      <c r="C147" s="14" t="s">
        <v>9</v>
      </c>
      <c r="D147" s="16">
        <v>880</v>
      </c>
      <c r="E147" s="14" t="s">
        <v>63</v>
      </c>
      <c r="F147" s="14" t="s">
        <v>10</v>
      </c>
      <c r="G147" s="14" t="s">
        <v>28</v>
      </c>
      <c r="H147" s="16">
        <v>40</v>
      </c>
      <c r="I147" s="16">
        <v>880</v>
      </c>
      <c r="J147" s="16">
        <v>400</v>
      </c>
      <c r="K147" s="17">
        <v>75</v>
      </c>
      <c r="L147" s="17">
        <v>93</v>
      </c>
      <c r="M147" s="17">
        <v>80</v>
      </c>
      <c r="N147" s="17">
        <v>87</v>
      </c>
      <c r="O147" s="17">
        <v>335</v>
      </c>
      <c r="P147" s="11" t="s">
        <v>65</v>
      </c>
      <c r="S147" s="36">
        <v>338</v>
      </c>
    </row>
    <row r="148" spans="1:19" ht="15" customHeight="1" thickBot="1">
      <c r="A148" s="13">
        <v>40597</v>
      </c>
      <c r="B148" s="14" t="s">
        <v>16</v>
      </c>
      <c r="C148" s="14" t="s">
        <v>9</v>
      </c>
      <c r="D148" s="16">
        <v>880</v>
      </c>
      <c r="E148" s="14" t="s">
        <v>63</v>
      </c>
      <c r="F148" s="14" t="s">
        <v>10</v>
      </c>
      <c r="G148" s="14" t="s">
        <v>28</v>
      </c>
      <c r="H148" s="16">
        <v>40</v>
      </c>
      <c r="I148" s="16">
        <v>880</v>
      </c>
      <c r="J148" s="16">
        <v>400</v>
      </c>
      <c r="K148" s="17">
        <v>71</v>
      </c>
      <c r="L148" s="17">
        <v>98</v>
      </c>
      <c r="M148" s="17">
        <v>92</v>
      </c>
      <c r="N148" s="17">
        <v>85</v>
      </c>
      <c r="O148" s="17">
        <v>346</v>
      </c>
      <c r="P148" s="11" t="s">
        <v>71</v>
      </c>
      <c r="S148" s="36">
        <v>339</v>
      </c>
    </row>
    <row r="149" spans="1:19" ht="15" customHeight="1" thickBot="1">
      <c r="A149" s="13">
        <v>40553</v>
      </c>
      <c r="B149" s="14" t="s">
        <v>16</v>
      </c>
      <c r="C149" s="14" t="s">
        <v>22</v>
      </c>
      <c r="D149" s="16">
        <v>154</v>
      </c>
      <c r="E149" s="14" t="s">
        <v>83</v>
      </c>
      <c r="F149" s="14" t="s">
        <v>21</v>
      </c>
      <c r="G149" s="14" t="s">
        <v>30</v>
      </c>
      <c r="H149" s="16">
        <v>7</v>
      </c>
      <c r="I149" s="16">
        <v>154</v>
      </c>
      <c r="J149" s="16">
        <v>70</v>
      </c>
      <c r="K149" s="17">
        <v>60</v>
      </c>
      <c r="L149" s="17">
        <v>81</v>
      </c>
      <c r="M149" s="17">
        <v>60</v>
      </c>
      <c r="N149" s="17">
        <v>63</v>
      </c>
      <c r="O149" s="17">
        <v>264</v>
      </c>
      <c r="P149" s="11" t="s">
        <v>65</v>
      </c>
      <c r="S149" s="36">
        <v>340</v>
      </c>
    </row>
    <row r="150" spans="1:19" ht="15" customHeight="1" thickBot="1">
      <c r="A150" s="13">
        <v>40569</v>
      </c>
      <c r="B150" s="14" t="s">
        <v>16</v>
      </c>
      <c r="C150" s="14" t="s">
        <v>19</v>
      </c>
      <c r="D150" s="15">
        <v>5000</v>
      </c>
      <c r="E150" s="14" t="s">
        <v>63</v>
      </c>
      <c r="F150" s="14" t="s">
        <v>10</v>
      </c>
      <c r="G150" s="14" t="s">
        <v>31</v>
      </c>
      <c r="H150" s="16">
        <v>61</v>
      </c>
      <c r="I150" s="15">
        <v>5000</v>
      </c>
      <c r="J150" s="16">
        <v>610</v>
      </c>
      <c r="K150" s="17">
        <v>96</v>
      </c>
      <c r="L150" s="17">
        <v>66</v>
      </c>
      <c r="M150" s="17">
        <v>77</v>
      </c>
      <c r="N150" s="17">
        <v>77</v>
      </c>
      <c r="O150" s="17">
        <v>316</v>
      </c>
      <c r="P150" s="11" t="s">
        <v>65</v>
      </c>
      <c r="S150" s="36">
        <v>341</v>
      </c>
    </row>
    <row r="151" spans="1:19" ht="15" customHeight="1" thickBot="1">
      <c r="A151" s="13">
        <v>40572</v>
      </c>
      <c r="B151" s="14" t="s">
        <v>16</v>
      </c>
      <c r="C151" s="14" t="s">
        <v>9</v>
      </c>
      <c r="D151" s="15">
        <v>1100</v>
      </c>
      <c r="E151" s="14" t="s">
        <v>63</v>
      </c>
      <c r="F151" s="14" t="s">
        <v>17</v>
      </c>
      <c r="G151" s="14" t="s">
        <v>73</v>
      </c>
      <c r="H151" s="16">
        <v>50</v>
      </c>
      <c r="I151" s="15">
        <v>1100</v>
      </c>
      <c r="J151" s="16">
        <v>500</v>
      </c>
      <c r="K151" s="17">
        <v>81</v>
      </c>
      <c r="L151" s="17">
        <v>68</v>
      </c>
      <c r="M151" s="17">
        <v>63</v>
      </c>
      <c r="N151" s="17">
        <v>82</v>
      </c>
      <c r="O151" s="17">
        <v>294</v>
      </c>
      <c r="P151" s="11" t="s">
        <v>71</v>
      </c>
      <c r="S151" s="36">
        <v>342</v>
      </c>
    </row>
    <row r="152" spans="1:19" ht="15" customHeight="1" thickBot="1">
      <c r="A152" s="13">
        <v>40545</v>
      </c>
      <c r="B152" s="14" t="s">
        <v>16</v>
      </c>
      <c r="C152" s="14" t="s">
        <v>26</v>
      </c>
      <c r="D152" s="16">
        <v>528</v>
      </c>
      <c r="E152" s="14" t="s">
        <v>83</v>
      </c>
      <c r="F152" s="14" t="s">
        <v>21</v>
      </c>
      <c r="G152" s="14" t="s">
        <v>37</v>
      </c>
      <c r="H152" s="16">
        <v>24</v>
      </c>
      <c r="I152" s="16">
        <v>528</v>
      </c>
      <c r="J152" s="16">
        <v>240</v>
      </c>
      <c r="K152" s="17">
        <v>61</v>
      </c>
      <c r="L152" s="17">
        <v>83</v>
      </c>
      <c r="M152" s="17">
        <v>84</v>
      </c>
      <c r="N152" s="17">
        <v>82</v>
      </c>
      <c r="O152" s="17">
        <v>310</v>
      </c>
      <c r="P152" s="11" t="s">
        <v>71</v>
      </c>
      <c r="S152" s="36">
        <v>343</v>
      </c>
    </row>
    <row r="153" spans="1:19" ht="15" customHeight="1" thickBot="1">
      <c r="A153" s="13">
        <v>40590</v>
      </c>
      <c r="B153" s="14" t="s">
        <v>16</v>
      </c>
      <c r="C153" s="14" t="s">
        <v>26</v>
      </c>
      <c r="D153" s="16">
        <v>528</v>
      </c>
      <c r="E153" s="14" t="s">
        <v>83</v>
      </c>
      <c r="F153" s="14" t="s">
        <v>21</v>
      </c>
      <c r="G153" s="14" t="s">
        <v>37</v>
      </c>
      <c r="H153" s="16">
        <v>24</v>
      </c>
      <c r="I153" s="16">
        <v>528</v>
      </c>
      <c r="J153" s="16">
        <v>240</v>
      </c>
      <c r="K153" s="17">
        <v>86</v>
      </c>
      <c r="L153" s="17">
        <v>100</v>
      </c>
      <c r="M153" s="17">
        <v>83</v>
      </c>
      <c r="N153" s="17">
        <v>73</v>
      </c>
      <c r="O153" s="17">
        <v>342</v>
      </c>
      <c r="P153" s="11" t="s">
        <v>71</v>
      </c>
      <c r="S153" s="36">
        <v>344</v>
      </c>
    </row>
    <row r="154" spans="1:19" ht="15" customHeight="1" thickBot="1">
      <c r="A154" s="13">
        <v>40569</v>
      </c>
      <c r="B154" s="14" t="s">
        <v>16</v>
      </c>
      <c r="C154" s="14" t="s">
        <v>9</v>
      </c>
      <c r="D154" s="16">
        <v>374</v>
      </c>
      <c r="E154" s="14" t="s">
        <v>63</v>
      </c>
      <c r="F154" s="14" t="s">
        <v>17</v>
      </c>
      <c r="G154" s="14" t="s">
        <v>38</v>
      </c>
      <c r="H154" s="16">
        <v>17</v>
      </c>
      <c r="I154" s="16">
        <v>374</v>
      </c>
      <c r="J154" s="16">
        <v>170</v>
      </c>
      <c r="K154" s="17">
        <v>82</v>
      </c>
      <c r="L154" s="17">
        <v>71</v>
      </c>
      <c r="M154" s="17">
        <v>89</v>
      </c>
      <c r="N154" s="17">
        <v>69</v>
      </c>
      <c r="O154" s="17">
        <v>311</v>
      </c>
      <c r="P154" s="11" t="s">
        <v>65</v>
      </c>
      <c r="S154" s="36">
        <v>345</v>
      </c>
    </row>
    <row r="155" spans="1:19" ht="15" customHeight="1" thickBot="1">
      <c r="A155" s="13">
        <v>40560</v>
      </c>
      <c r="B155" s="14" t="s">
        <v>16</v>
      </c>
      <c r="C155" s="14" t="s">
        <v>22</v>
      </c>
      <c r="D155" s="16">
        <v>352</v>
      </c>
      <c r="E155" s="14" t="s">
        <v>83</v>
      </c>
      <c r="F155" s="14" t="s">
        <v>24</v>
      </c>
      <c r="G155" s="14" t="s">
        <v>42</v>
      </c>
      <c r="H155" s="16">
        <v>16</v>
      </c>
      <c r="I155" s="16">
        <v>352</v>
      </c>
      <c r="J155" s="16">
        <v>160</v>
      </c>
      <c r="K155" s="17">
        <v>79</v>
      </c>
      <c r="L155" s="17">
        <v>62</v>
      </c>
      <c r="M155" s="17">
        <v>99</v>
      </c>
      <c r="N155" s="17">
        <v>75</v>
      </c>
      <c r="O155" s="17">
        <v>315</v>
      </c>
      <c r="P155" s="11" t="s">
        <v>71</v>
      </c>
      <c r="S155" s="36">
        <v>346</v>
      </c>
    </row>
    <row r="156" spans="1:19" ht="15" customHeight="1" thickBot="1">
      <c r="A156" s="13">
        <v>40556</v>
      </c>
      <c r="B156" s="14" t="s">
        <v>16</v>
      </c>
      <c r="C156" s="14" t="s">
        <v>22</v>
      </c>
      <c r="D156" s="15">
        <v>1254</v>
      </c>
      <c r="E156" s="14" t="s">
        <v>83</v>
      </c>
      <c r="F156" s="14" t="s">
        <v>10</v>
      </c>
      <c r="G156" s="14" t="s">
        <v>43</v>
      </c>
      <c r="H156" s="16">
        <v>57</v>
      </c>
      <c r="I156" s="15">
        <v>1254</v>
      </c>
      <c r="J156" s="16">
        <v>570</v>
      </c>
      <c r="K156" s="17">
        <v>78</v>
      </c>
      <c r="L156" s="17">
        <v>80</v>
      </c>
      <c r="M156" s="17">
        <v>91</v>
      </c>
      <c r="N156" s="17">
        <v>89</v>
      </c>
      <c r="O156" s="17">
        <v>338</v>
      </c>
      <c r="P156" s="11" t="s">
        <v>65</v>
      </c>
      <c r="S156" s="36">
        <v>347</v>
      </c>
    </row>
    <row r="157" spans="1:19" ht="15" customHeight="1" thickBot="1">
      <c r="A157" s="13">
        <v>40563</v>
      </c>
      <c r="B157" s="14" t="s">
        <v>16</v>
      </c>
      <c r="C157" s="14" t="s">
        <v>9</v>
      </c>
      <c r="D157" s="16">
        <v>220</v>
      </c>
      <c r="E157" s="14" t="s">
        <v>63</v>
      </c>
      <c r="F157" s="14" t="s">
        <v>21</v>
      </c>
      <c r="G157" s="14" t="s">
        <v>44</v>
      </c>
      <c r="H157" s="16">
        <v>10</v>
      </c>
      <c r="I157" s="16">
        <v>220</v>
      </c>
      <c r="J157" s="16">
        <v>100</v>
      </c>
      <c r="K157" s="17">
        <v>60</v>
      </c>
      <c r="L157" s="17">
        <v>70</v>
      </c>
      <c r="M157" s="17">
        <v>87</v>
      </c>
      <c r="N157" s="17">
        <v>67</v>
      </c>
      <c r="O157" s="17">
        <v>284</v>
      </c>
      <c r="P157" s="11" t="s">
        <v>71</v>
      </c>
      <c r="S157" s="36">
        <v>348</v>
      </c>
    </row>
    <row r="158" spans="1:19" ht="15" customHeight="1" thickBot="1">
      <c r="A158" s="13">
        <v>40569</v>
      </c>
      <c r="B158" s="14" t="s">
        <v>16</v>
      </c>
      <c r="C158" s="14" t="s">
        <v>22</v>
      </c>
      <c r="D158" s="16">
        <v>462</v>
      </c>
      <c r="E158" s="14" t="s">
        <v>83</v>
      </c>
      <c r="F158" s="14" t="s">
        <v>21</v>
      </c>
      <c r="G158" s="14" t="s">
        <v>44</v>
      </c>
      <c r="H158" s="16">
        <v>21</v>
      </c>
      <c r="I158" s="16">
        <v>462</v>
      </c>
      <c r="J158" s="16">
        <v>210</v>
      </c>
      <c r="K158" s="17">
        <v>85</v>
      </c>
      <c r="L158" s="17">
        <v>96</v>
      </c>
      <c r="M158" s="17">
        <v>71</v>
      </c>
      <c r="N158" s="17">
        <v>65</v>
      </c>
      <c r="O158" s="17">
        <v>317</v>
      </c>
      <c r="P158" s="11" t="s">
        <v>71</v>
      </c>
      <c r="S158" s="36">
        <v>349</v>
      </c>
    </row>
    <row r="159" spans="1:19" ht="15" customHeight="1" thickBot="1">
      <c r="A159" s="13">
        <v>40599</v>
      </c>
      <c r="B159" s="14" t="s">
        <v>16</v>
      </c>
      <c r="C159" s="14" t="s">
        <v>22</v>
      </c>
      <c r="D159" s="16">
        <v>462</v>
      </c>
      <c r="E159" s="14" t="s">
        <v>83</v>
      </c>
      <c r="F159" s="14" t="s">
        <v>21</v>
      </c>
      <c r="G159" s="14" t="s">
        <v>44</v>
      </c>
      <c r="H159" s="16">
        <v>21</v>
      </c>
      <c r="I159" s="16">
        <v>462</v>
      </c>
      <c r="J159" s="16">
        <v>210</v>
      </c>
      <c r="K159" s="17">
        <v>74</v>
      </c>
      <c r="L159" s="17">
        <v>99</v>
      </c>
      <c r="M159" s="17">
        <v>73</v>
      </c>
      <c r="N159" s="17">
        <v>61</v>
      </c>
      <c r="O159" s="17">
        <v>307</v>
      </c>
      <c r="P159" s="11" t="s">
        <v>71</v>
      </c>
      <c r="S159" s="36">
        <v>350</v>
      </c>
    </row>
    <row r="160" spans="1:19" ht="15" customHeight="1" thickBot="1">
      <c r="A160" s="13">
        <v>40556</v>
      </c>
      <c r="B160" s="14" t="s">
        <v>16</v>
      </c>
      <c r="C160" s="14" t="s">
        <v>22</v>
      </c>
      <c r="D160" s="16">
        <v>880</v>
      </c>
      <c r="E160" s="14" t="s">
        <v>83</v>
      </c>
      <c r="F160" s="14" t="s">
        <v>10</v>
      </c>
      <c r="G160" s="14" t="s">
        <v>44</v>
      </c>
      <c r="H160" s="16">
        <v>40</v>
      </c>
      <c r="I160" s="16">
        <v>880</v>
      </c>
      <c r="J160" s="16">
        <v>400</v>
      </c>
      <c r="K160" s="17">
        <v>96</v>
      </c>
      <c r="L160" s="17">
        <v>91</v>
      </c>
      <c r="M160" s="17">
        <v>87</v>
      </c>
      <c r="N160" s="17">
        <v>95</v>
      </c>
      <c r="O160" s="17">
        <v>369</v>
      </c>
      <c r="P160" s="11" t="s">
        <v>65</v>
      </c>
      <c r="S160" s="36">
        <v>352</v>
      </c>
    </row>
    <row r="161" spans="1:19" ht="15" customHeight="1" thickBot="1">
      <c r="A161" s="13">
        <v>40552</v>
      </c>
      <c r="B161" s="14" t="s">
        <v>16</v>
      </c>
      <c r="C161" s="14" t="s">
        <v>26</v>
      </c>
      <c r="D161" s="16">
        <v>330</v>
      </c>
      <c r="E161" s="14" t="s">
        <v>83</v>
      </c>
      <c r="F161" s="14" t="s">
        <v>13</v>
      </c>
      <c r="G161" s="14" t="s">
        <v>45</v>
      </c>
      <c r="H161" s="16">
        <v>15</v>
      </c>
      <c r="I161" s="16">
        <v>330</v>
      </c>
      <c r="J161" s="16">
        <v>150</v>
      </c>
      <c r="K161" s="17">
        <v>85</v>
      </c>
      <c r="L161" s="17">
        <v>60</v>
      </c>
      <c r="M161" s="17">
        <v>85</v>
      </c>
      <c r="N161" s="17">
        <v>99</v>
      </c>
      <c r="O161" s="17">
        <v>329</v>
      </c>
      <c r="P161" s="11" t="s">
        <v>71</v>
      </c>
      <c r="S161" s="36">
        <v>356</v>
      </c>
    </row>
    <row r="162" spans="1:19" ht="15" customHeight="1" thickBot="1">
      <c r="A162" s="13">
        <v>40571</v>
      </c>
      <c r="B162" s="14" t="s">
        <v>16</v>
      </c>
      <c r="C162" s="14" t="s">
        <v>26</v>
      </c>
      <c r="D162" s="16">
        <v>550</v>
      </c>
      <c r="E162" s="14" t="s">
        <v>83</v>
      </c>
      <c r="F162" s="14" t="s">
        <v>13</v>
      </c>
      <c r="G162" s="14" t="s">
        <v>45</v>
      </c>
      <c r="H162" s="16">
        <v>25</v>
      </c>
      <c r="I162" s="16">
        <v>550</v>
      </c>
      <c r="J162" s="16">
        <v>250</v>
      </c>
      <c r="K162" s="17">
        <v>98</v>
      </c>
      <c r="L162" s="17">
        <v>75</v>
      </c>
      <c r="M162" s="17">
        <v>69</v>
      </c>
      <c r="N162" s="17">
        <v>80</v>
      </c>
      <c r="O162" s="17">
        <v>322</v>
      </c>
      <c r="P162" s="11" t="s">
        <v>71</v>
      </c>
      <c r="S162" s="36">
        <v>358</v>
      </c>
    </row>
    <row r="163" spans="1:19" ht="15" customHeight="1" thickBot="1">
      <c r="A163" s="13">
        <v>40616</v>
      </c>
      <c r="B163" s="14" t="s">
        <v>16</v>
      </c>
      <c r="C163" s="14" t="s">
        <v>26</v>
      </c>
      <c r="D163" s="16">
        <v>550</v>
      </c>
      <c r="E163" s="14" t="s">
        <v>83</v>
      </c>
      <c r="F163" s="14" t="s">
        <v>13</v>
      </c>
      <c r="G163" s="14" t="s">
        <v>45</v>
      </c>
      <c r="H163" s="16">
        <v>25</v>
      </c>
      <c r="I163" s="16">
        <v>550</v>
      </c>
      <c r="J163" s="16">
        <v>250</v>
      </c>
      <c r="K163" s="17">
        <v>92</v>
      </c>
      <c r="L163" s="17">
        <v>86</v>
      </c>
      <c r="M163" s="17">
        <v>71</v>
      </c>
      <c r="N163" s="17">
        <v>94</v>
      </c>
      <c r="O163" s="17">
        <v>343</v>
      </c>
      <c r="P163" s="11" t="s">
        <v>65</v>
      </c>
      <c r="S163" s="36">
        <v>360</v>
      </c>
    </row>
    <row r="164" spans="1:19" ht="15" customHeight="1" thickBot="1">
      <c r="A164" s="13">
        <v>40575</v>
      </c>
      <c r="B164" s="14" t="s">
        <v>16</v>
      </c>
      <c r="C164" s="14" t="s">
        <v>19</v>
      </c>
      <c r="D164" s="16">
        <v>418</v>
      </c>
      <c r="E164" s="14" t="s">
        <v>63</v>
      </c>
      <c r="F164" s="14" t="s">
        <v>10</v>
      </c>
      <c r="G164" s="14" t="s">
        <v>46</v>
      </c>
      <c r="H164" s="16">
        <v>19</v>
      </c>
      <c r="I164" s="16">
        <v>418</v>
      </c>
      <c r="J164" s="16">
        <v>190</v>
      </c>
      <c r="K164" s="17">
        <v>91</v>
      </c>
      <c r="L164" s="17">
        <v>89</v>
      </c>
      <c r="M164" s="17">
        <v>79</v>
      </c>
      <c r="N164" s="17">
        <v>97</v>
      </c>
      <c r="O164" s="17">
        <v>356</v>
      </c>
      <c r="P164" s="11" t="s">
        <v>71</v>
      </c>
      <c r="S164" s="36">
        <v>361</v>
      </c>
    </row>
    <row r="165" spans="1:19" ht="15" customHeight="1" thickBot="1">
      <c r="A165" s="13">
        <v>40562</v>
      </c>
      <c r="B165" s="14" t="s">
        <v>16</v>
      </c>
      <c r="C165" s="14" t="s">
        <v>26</v>
      </c>
      <c r="D165" s="16">
        <v>770</v>
      </c>
      <c r="E165" s="14" t="s">
        <v>83</v>
      </c>
      <c r="F165" s="14" t="s">
        <v>13</v>
      </c>
      <c r="G165" s="14" t="s">
        <v>47</v>
      </c>
      <c r="H165" s="16">
        <v>35</v>
      </c>
      <c r="I165" s="16">
        <v>770</v>
      </c>
      <c r="J165" s="16">
        <v>350</v>
      </c>
      <c r="K165" s="17">
        <v>87</v>
      </c>
      <c r="L165" s="17">
        <v>77</v>
      </c>
      <c r="M165" s="17">
        <v>60</v>
      </c>
      <c r="N165" s="17">
        <v>83</v>
      </c>
      <c r="O165" s="17">
        <v>307</v>
      </c>
      <c r="P165" s="11" t="s">
        <v>71</v>
      </c>
      <c r="S165" s="36">
        <v>365</v>
      </c>
    </row>
    <row r="166" spans="1:19" ht="15" customHeight="1" thickBot="1">
      <c r="A166" s="13">
        <v>40550</v>
      </c>
      <c r="B166" s="14" t="s">
        <v>16</v>
      </c>
      <c r="C166" s="14" t="s">
        <v>19</v>
      </c>
      <c r="D166" s="16">
        <v>594</v>
      </c>
      <c r="E166" s="14" t="s">
        <v>63</v>
      </c>
      <c r="F166" s="14" t="s">
        <v>24</v>
      </c>
      <c r="G166" s="14" t="s">
        <v>47</v>
      </c>
      <c r="H166" s="16">
        <v>27</v>
      </c>
      <c r="I166" s="16">
        <v>594</v>
      </c>
      <c r="J166" s="16">
        <v>270</v>
      </c>
      <c r="K166" s="17">
        <v>81</v>
      </c>
      <c r="L166" s="17">
        <v>78</v>
      </c>
      <c r="M166" s="17">
        <v>89</v>
      </c>
      <c r="N166" s="17">
        <v>67</v>
      </c>
      <c r="O166" s="17">
        <v>315</v>
      </c>
      <c r="P166" s="11" t="s">
        <v>65</v>
      </c>
      <c r="S166" s="36">
        <v>369</v>
      </c>
    </row>
    <row r="167" spans="1:19" ht="15" customHeight="1" thickBot="1">
      <c r="A167" s="13">
        <v>40564</v>
      </c>
      <c r="B167" s="14" t="s">
        <v>16</v>
      </c>
      <c r="C167" s="14" t="s">
        <v>26</v>
      </c>
      <c r="D167" s="16">
        <v>242</v>
      </c>
      <c r="E167" s="14" t="s">
        <v>83</v>
      </c>
      <c r="F167" s="14" t="s">
        <v>24</v>
      </c>
      <c r="G167" s="14" t="s">
        <v>48</v>
      </c>
      <c r="H167" s="16">
        <v>11</v>
      </c>
      <c r="I167" s="16">
        <v>242</v>
      </c>
      <c r="J167" s="16">
        <v>110</v>
      </c>
      <c r="K167" s="17">
        <v>73</v>
      </c>
      <c r="L167" s="17">
        <v>60</v>
      </c>
      <c r="M167" s="17">
        <v>87</v>
      </c>
      <c r="N167" s="17">
        <v>93</v>
      </c>
      <c r="O167" s="17">
        <v>313</v>
      </c>
      <c r="P167" s="11" t="s">
        <v>65</v>
      </c>
      <c r="S167" s="36">
        <v>370</v>
      </c>
    </row>
    <row r="168" spans="1:19" ht="15" customHeight="1" thickBot="1">
      <c r="A168" s="13">
        <v>40552</v>
      </c>
      <c r="B168" s="14" t="s">
        <v>16</v>
      </c>
      <c r="C168" s="14" t="s">
        <v>26</v>
      </c>
      <c r="D168" s="16">
        <v>572</v>
      </c>
      <c r="E168" s="14" t="s">
        <v>83</v>
      </c>
      <c r="F168" s="14" t="s">
        <v>17</v>
      </c>
      <c r="G168" s="14" t="s">
        <v>50</v>
      </c>
      <c r="H168" s="16">
        <v>26</v>
      </c>
      <c r="I168" s="16">
        <v>572</v>
      </c>
      <c r="J168" s="16">
        <v>260</v>
      </c>
      <c r="K168" s="17">
        <v>72</v>
      </c>
      <c r="L168" s="17">
        <v>66</v>
      </c>
      <c r="M168" s="17">
        <v>66</v>
      </c>
      <c r="N168" s="17">
        <v>67</v>
      </c>
      <c r="O168" s="17">
        <v>271</v>
      </c>
      <c r="P168" s="11" t="s">
        <v>65</v>
      </c>
      <c r="S168" s="36">
        <v>371</v>
      </c>
    </row>
    <row r="169" spans="1:19" ht="15" customHeight="1" thickBot="1">
      <c r="A169" s="13">
        <v>40555</v>
      </c>
      <c r="B169" s="14" t="s">
        <v>16</v>
      </c>
      <c r="C169" s="14" t="s">
        <v>26</v>
      </c>
      <c r="D169" s="16">
        <v>154</v>
      </c>
      <c r="E169" s="14" t="s">
        <v>83</v>
      </c>
      <c r="F169" s="14" t="s">
        <v>17</v>
      </c>
      <c r="G169" s="14" t="s">
        <v>51</v>
      </c>
      <c r="H169" s="16">
        <v>7</v>
      </c>
      <c r="I169" s="16">
        <v>154</v>
      </c>
      <c r="J169" s="16">
        <v>70</v>
      </c>
      <c r="K169" s="17">
        <v>64</v>
      </c>
      <c r="L169" s="17">
        <v>86</v>
      </c>
      <c r="M169" s="17">
        <v>98</v>
      </c>
      <c r="N169" s="17">
        <v>78</v>
      </c>
      <c r="O169" s="17">
        <v>326</v>
      </c>
      <c r="P169" s="11" t="s">
        <v>71</v>
      </c>
      <c r="S169" s="36">
        <v>372</v>
      </c>
    </row>
    <row r="170" spans="1:19" ht="15" customHeight="1" thickBot="1">
      <c r="A170" s="13">
        <v>40565</v>
      </c>
      <c r="B170" s="14" t="s">
        <v>16</v>
      </c>
      <c r="C170" s="14" t="s">
        <v>19</v>
      </c>
      <c r="D170" s="16">
        <v>132</v>
      </c>
      <c r="E170" s="14" t="s">
        <v>63</v>
      </c>
      <c r="F170" s="14" t="s">
        <v>24</v>
      </c>
      <c r="G170" s="14" t="s">
        <v>51</v>
      </c>
      <c r="H170" s="16">
        <v>6</v>
      </c>
      <c r="I170" s="16">
        <v>132</v>
      </c>
      <c r="J170" s="16">
        <v>60</v>
      </c>
      <c r="K170" s="17">
        <v>87</v>
      </c>
      <c r="L170" s="17">
        <v>65</v>
      </c>
      <c r="M170" s="17">
        <v>99</v>
      </c>
      <c r="N170" s="17">
        <v>85</v>
      </c>
      <c r="O170" s="17">
        <v>336</v>
      </c>
      <c r="P170" s="11" t="s">
        <v>65</v>
      </c>
      <c r="S170" s="36">
        <v>376</v>
      </c>
    </row>
    <row r="171" spans="1:19" ht="15" customHeight="1" thickBot="1">
      <c r="A171" s="13">
        <v>40610</v>
      </c>
      <c r="B171" s="14" t="s">
        <v>16</v>
      </c>
      <c r="C171" s="14" t="s">
        <v>19</v>
      </c>
      <c r="D171" s="16">
        <v>132</v>
      </c>
      <c r="E171" s="14" t="s">
        <v>63</v>
      </c>
      <c r="F171" s="14" t="s">
        <v>24</v>
      </c>
      <c r="G171" s="14" t="s">
        <v>51</v>
      </c>
      <c r="H171" s="16">
        <v>6</v>
      </c>
      <c r="I171" s="16">
        <v>132</v>
      </c>
      <c r="J171" s="16">
        <v>60</v>
      </c>
      <c r="K171" s="17">
        <v>79</v>
      </c>
      <c r="L171" s="17">
        <v>100</v>
      </c>
      <c r="M171" s="17">
        <v>100</v>
      </c>
      <c r="N171" s="17">
        <v>93</v>
      </c>
      <c r="O171" s="17">
        <v>372</v>
      </c>
      <c r="P171" s="11" t="s">
        <v>71</v>
      </c>
      <c r="S171" s="36">
        <v>381</v>
      </c>
    </row>
    <row r="172" spans="1:19" ht="15" customHeight="1" thickBot="1">
      <c r="A172" s="13">
        <v>40559</v>
      </c>
      <c r="B172" s="14" t="s">
        <v>16</v>
      </c>
      <c r="C172" s="14" t="s">
        <v>22</v>
      </c>
      <c r="D172" s="15">
        <v>1232</v>
      </c>
      <c r="E172" s="14" t="s">
        <v>83</v>
      </c>
      <c r="F172" s="14" t="s">
        <v>13</v>
      </c>
      <c r="G172" s="14" t="s">
        <v>52</v>
      </c>
      <c r="H172" s="16">
        <v>56</v>
      </c>
      <c r="I172" s="15">
        <v>1232</v>
      </c>
      <c r="J172" s="16">
        <v>560</v>
      </c>
      <c r="K172" s="17">
        <v>91</v>
      </c>
      <c r="L172" s="17">
        <v>99</v>
      </c>
      <c r="M172" s="17">
        <v>74</v>
      </c>
      <c r="N172" s="17">
        <v>88</v>
      </c>
      <c r="O172" s="17">
        <v>352</v>
      </c>
      <c r="P172" s="11" t="s">
        <v>71</v>
      </c>
      <c r="S172" s="36">
        <v>385</v>
      </c>
    </row>
    <row r="173" spans="1:19" ht="15" customHeight="1" thickBot="1">
      <c r="A173" s="13">
        <v>40565</v>
      </c>
      <c r="B173" s="14" t="s">
        <v>16</v>
      </c>
      <c r="C173" s="14" t="s">
        <v>19</v>
      </c>
      <c r="D173" s="16">
        <v>770</v>
      </c>
      <c r="E173" s="14" t="s">
        <v>63</v>
      </c>
      <c r="F173" s="14" t="s">
        <v>13</v>
      </c>
      <c r="G173" s="14" t="s">
        <v>52</v>
      </c>
      <c r="H173" s="16">
        <v>35</v>
      </c>
      <c r="I173" s="16">
        <v>770</v>
      </c>
      <c r="J173" s="16">
        <v>350</v>
      </c>
      <c r="K173" s="17">
        <v>96</v>
      </c>
      <c r="L173" s="17">
        <v>89</v>
      </c>
      <c r="M173" s="17">
        <v>90</v>
      </c>
      <c r="N173" s="17">
        <v>85</v>
      </c>
      <c r="O173" s="17">
        <v>360</v>
      </c>
      <c r="P173" s="11" t="s">
        <v>65</v>
      </c>
      <c r="S173" s="36" t="s">
        <v>261</v>
      </c>
    </row>
    <row r="174" spans="1:19" ht="15" customHeight="1" thickBot="1">
      <c r="A174" s="13">
        <v>40553</v>
      </c>
      <c r="B174" s="14" t="s">
        <v>8</v>
      </c>
      <c r="C174" s="14" t="s">
        <v>9</v>
      </c>
      <c r="D174" s="15">
        <v>1449</v>
      </c>
      <c r="E174" s="14" t="s">
        <v>63</v>
      </c>
      <c r="F174" s="14" t="s">
        <v>10</v>
      </c>
      <c r="G174" s="14" t="s">
        <v>64</v>
      </c>
      <c r="H174" s="16">
        <v>63</v>
      </c>
      <c r="I174" s="15">
        <v>1449</v>
      </c>
      <c r="J174" s="16">
        <v>693</v>
      </c>
      <c r="K174" s="17">
        <v>72</v>
      </c>
      <c r="L174" s="17">
        <v>70</v>
      </c>
      <c r="M174" s="17">
        <v>60</v>
      </c>
      <c r="N174" s="17">
        <v>61</v>
      </c>
      <c r="O174" s="17">
        <v>263</v>
      </c>
      <c r="P174" s="11" t="s">
        <v>65</v>
      </c>
    </row>
    <row r="175" spans="1:19" ht="15" customHeight="1" thickBot="1">
      <c r="A175" s="13">
        <v>40567</v>
      </c>
      <c r="B175" s="14" t="s">
        <v>8</v>
      </c>
      <c r="C175" s="14" t="s">
        <v>22</v>
      </c>
      <c r="D175" s="16">
        <v>299</v>
      </c>
      <c r="E175" s="14" t="s">
        <v>83</v>
      </c>
      <c r="F175" s="14" t="s">
        <v>15</v>
      </c>
      <c r="G175" s="14" t="s">
        <v>23</v>
      </c>
      <c r="H175" s="16">
        <v>13</v>
      </c>
      <c r="I175" s="16">
        <v>299</v>
      </c>
      <c r="J175" s="16">
        <v>143</v>
      </c>
      <c r="K175" s="17">
        <v>67</v>
      </c>
      <c r="L175" s="17">
        <v>60</v>
      </c>
      <c r="M175" s="17">
        <v>69</v>
      </c>
      <c r="N175" s="17">
        <v>68</v>
      </c>
      <c r="O175" s="17">
        <v>264</v>
      </c>
      <c r="P175" s="11" t="s">
        <v>71</v>
      </c>
    </row>
    <row r="176" spans="1:19" ht="15" customHeight="1" thickBot="1">
      <c r="A176" s="13">
        <v>40612</v>
      </c>
      <c r="B176" s="14" t="s">
        <v>8</v>
      </c>
      <c r="C176" s="14" t="s">
        <v>22</v>
      </c>
      <c r="D176" s="16">
        <v>299</v>
      </c>
      <c r="E176" s="14" t="s">
        <v>83</v>
      </c>
      <c r="F176" s="14" t="s">
        <v>15</v>
      </c>
      <c r="G176" s="14" t="s">
        <v>23</v>
      </c>
      <c r="H176" s="16">
        <v>13</v>
      </c>
      <c r="I176" s="16">
        <v>299</v>
      </c>
      <c r="J176" s="16">
        <v>143</v>
      </c>
      <c r="K176" s="17">
        <v>100</v>
      </c>
      <c r="L176" s="17">
        <v>68</v>
      </c>
      <c r="M176" s="17">
        <v>74</v>
      </c>
      <c r="N176" s="17">
        <v>100</v>
      </c>
      <c r="O176" s="17">
        <v>342</v>
      </c>
      <c r="P176" s="11" t="s">
        <v>65</v>
      </c>
    </row>
    <row r="177" spans="1:16" ht="15" customHeight="1" thickBot="1">
      <c r="A177" s="13">
        <v>40563</v>
      </c>
      <c r="B177" s="14" t="s">
        <v>8</v>
      </c>
      <c r="C177" s="14" t="s">
        <v>9</v>
      </c>
      <c r="D177" s="15">
        <v>1357</v>
      </c>
      <c r="E177" s="14" t="s">
        <v>63</v>
      </c>
      <c r="F177" s="14" t="s">
        <v>17</v>
      </c>
      <c r="G177" s="14" t="s">
        <v>29</v>
      </c>
      <c r="H177" s="16">
        <v>59</v>
      </c>
      <c r="I177" s="15">
        <v>1357</v>
      </c>
      <c r="J177" s="16">
        <v>649</v>
      </c>
      <c r="K177" s="17">
        <v>98</v>
      </c>
      <c r="L177" s="17">
        <v>60</v>
      </c>
      <c r="M177" s="17">
        <v>76</v>
      </c>
      <c r="N177" s="17">
        <v>88</v>
      </c>
      <c r="O177" s="17">
        <v>322</v>
      </c>
      <c r="P177" s="11" t="s">
        <v>65</v>
      </c>
    </row>
    <row r="178" spans="1:16" ht="15" customHeight="1" thickBot="1">
      <c r="A178" s="13">
        <v>40593</v>
      </c>
      <c r="B178" s="14" t="s">
        <v>8</v>
      </c>
      <c r="C178" s="14" t="s">
        <v>9</v>
      </c>
      <c r="D178" s="15">
        <v>1357</v>
      </c>
      <c r="E178" s="14" t="s">
        <v>63</v>
      </c>
      <c r="F178" s="14" t="s">
        <v>17</v>
      </c>
      <c r="G178" s="14" t="s">
        <v>29</v>
      </c>
      <c r="H178" s="16">
        <v>59</v>
      </c>
      <c r="I178" s="15">
        <v>1357</v>
      </c>
      <c r="J178" s="16">
        <v>649</v>
      </c>
      <c r="K178" s="17">
        <v>78</v>
      </c>
      <c r="L178" s="17">
        <v>80</v>
      </c>
      <c r="M178" s="17">
        <v>87</v>
      </c>
      <c r="N178" s="17">
        <v>99</v>
      </c>
      <c r="O178" s="17">
        <v>344</v>
      </c>
      <c r="P178" s="11" t="s">
        <v>65</v>
      </c>
    </row>
    <row r="179" spans="1:16" ht="15" customHeight="1" thickBot="1">
      <c r="A179" s="13">
        <v>40546</v>
      </c>
      <c r="B179" s="14" t="s">
        <v>8</v>
      </c>
      <c r="C179" s="14" t="s">
        <v>22</v>
      </c>
      <c r="D179" s="16">
        <v>460</v>
      </c>
      <c r="E179" s="14" t="s">
        <v>83</v>
      </c>
      <c r="F179" s="14" t="s">
        <v>17</v>
      </c>
      <c r="G179" s="14" t="s">
        <v>30</v>
      </c>
      <c r="H179" s="16">
        <v>20</v>
      </c>
      <c r="I179" s="16">
        <v>460</v>
      </c>
      <c r="J179" s="16">
        <v>220</v>
      </c>
      <c r="K179" s="17">
        <v>63</v>
      </c>
      <c r="L179" s="17">
        <v>63</v>
      </c>
      <c r="M179" s="17">
        <v>93</v>
      </c>
      <c r="N179" s="17">
        <v>96</v>
      </c>
      <c r="O179" s="17">
        <v>315</v>
      </c>
      <c r="P179" s="11" t="s">
        <v>71</v>
      </c>
    </row>
    <row r="180" spans="1:16" ht="15" customHeight="1" thickBot="1">
      <c r="A180" s="13">
        <v>40591</v>
      </c>
      <c r="B180" s="14" t="s">
        <v>8</v>
      </c>
      <c r="C180" s="14" t="s">
        <v>22</v>
      </c>
      <c r="D180" s="16">
        <v>460</v>
      </c>
      <c r="E180" s="14" t="s">
        <v>83</v>
      </c>
      <c r="F180" s="14" t="s">
        <v>17</v>
      </c>
      <c r="G180" s="14" t="s">
        <v>30</v>
      </c>
      <c r="H180" s="16">
        <v>20</v>
      </c>
      <c r="I180" s="16">
        <v>460</v>
      </c>
      <c r="J180" s="16">
        <v>220</v>
      </c>
      <c r="K180" s="17">
        <v>79</v>
      </c>
      <c r="L180" s="17">
        <v>87</v>
      </c>
      <c r="M180" s="17">
        <v>92</v>
      </c>
      <c r="N180" s="17">
        <v>90</v>
      </c>
      <c r="O180" s="17">
        <v>348</v>
      </c>
      <c r="P180" s="11" t="s">
        <v>65</v>
      </c>
    </row>
    <row r="181" spans="1:16" ht="15" customHeight="1" thickBot="1">
      <c r="A181" s="13">
        <v>40556</v>
      </c>
      <c r="B181" s="14" t="s">
        <v>8</v>
      </c>
      <c r="C181" s="14" t="s">
        <v>26</v>
      </c>
      <c r="D181" s="15">
        <v>1196</v>
      </c>
      <c r="E181" s="14" t="s">
        <v>83</v>
      </c>
      <c r="F181" s="14" t="s">
        <v>24</v>
      </c>
      <c r="G181" s="14" t="s">
        <v>30</v>
      </c>
      <c r="H181" s="16">
        <v>52</v>
      </c>
      <c r="I181" s="15">
        <v>1196</v>
      </c>
      <c r="J181" s="16">
        <v>572</v>
      </c>
      <c r="K181" s="17">
        <v>64</v>
      </c>
      <c r="L181" s="17">
        <v>93</v>
      </c>
      <c r="M181" s="17">
        <v>90</v>
      </c>
      <c r="N181" s="17">
        <v>94</v>
      </c>
      <c r="O181" s="17">
        <v>341</v>
      </c>
      <c r="P181" s="11" t="s">
        <v>71</v>
      </c>
    </row>
    <row r="182" spans="1:16" ht="15" customHeight="1" thickBot="1">
      <c r="A182" s="13">
        <v>40550</v>
      </c>
      <c r="B182" s="14" t="s">
        <v>8</v>
      </c>
      <c r="C182" s="14" t="s">
        <v>22</v>
      </c>
      <c r="D182" s="16">
        <v>276</v>
      </c>
      <c r="E182" s="14" t="s">
        <v>83</v>
      </c>
      <c r="F182" s="14" t="s">
        <v>15</v>
      </c>
      <c r="G182" s="14" t="s">
        <v>32</v>
      </c>
      <c r="H182" s="16">
        <v>12</v>
      </c>
      <c r="I182" s="16">
        <v>276</v>
      </c>
      <c r="J182" s="16">
        <v>132</v>
      </c>
      <c r="K182" s="17">
        <v>73</v>
      </c>
      <c r="L182" s="17">
        <v>71</v>
      </c>
      <c r="M182" s="17">
        <v>90</v>
      </c>
      <c r="N182" s="17">
        <v>75</v>
      </c>
      <c r="O182" s="17">
        <v>309</v>
      </c>
      <c r="P182" s="11" t="s">
        <v>65</v>
      </c>
    </row>
    <row r="183" spans="1:16" ht="15" customHeight="1" thickBot="1">
      <c r="A183" s="13">
        <v>40580</v>
      </c>
      <c r="B183" s="14" t="s">
        <v>8</v>
      </c>
      <c r="C183" s="14" t="s">
        <v>22</v>
      </c>
      <c r="D183" s="16">
        <v>276</v>
      </c>
      <c r="E183" s="14" t="s">
        <v>83</v>
      </c>
      <c r="F183" s="14" t="s">
        <v>15</v>
      </c>
      <c r="G183" s="14" t="s">
        <v>32</v>
      </c>
      <c r="H183" s="16">
        <v>12</v>
      </c>
      <c r="I183" s="16">
        <v>276</v>
      </c>
      <c r="J183" s="16">
        <v>132</v>
      </c>
      <c r="K183" s="17">
        <v>83</v>
      </c>
      <c r="L183" s="17">
        <v>65</v>
      </c>
      <c r="M183" s="17">
        <v>93</v>
      </c>
      <c r="N183" s="17">
        <v>86</v>
      </c>
      <c r="O183" s="17">
        <v>327</v>
      </c>
      <c r="P183" s="11" t="s">
        <v>71</v>
      </c>
    </row>
    <row r="184" spans="1:16" ht="15" customHeight="1" thickBot="1">
      <c r="A184" s="13">
        <v>40548</v>
      </c>
      <c r="B184" s="14" t="s">
        <v>8</v>
      </c>
      <c r="C184" s="14" t="s">
        <v>19</v>
      </c>
      <c r="D184" s="15">
        <v>1380</v>
      </c>
      <c r="E184" s="14" t="s">
        <v>63</v>
      </c>
      <c r="F184" s="14" t="s">
        <v>15</v>
      </c>
      <c r="G184" s="14" t="s">
        <v>34</v>
      </c>
      <c r="H184" s="16">
        <v>60</v>
      </c>
      <c r="I184" s="15">
        <v>1380</v>
      </c>
      <c r="J184" s="16">
        <v>660</v>
      </c>
      <c r="K184" s="17">
        <v>62</v>
      </c>
      <c r="L184" s="17">
        <v>71</v>
      </c>
      <c r="M184" s="17">
        <v>72</v>
      </c>
      <c r="N184" s="17">
        <v>80</v>
      </c>
      <c r="O184" s="17">
        <v>285</v>
      </c>
      <c r="P184" s="11" t="s">
        <v>71</v>
      </c>
    </row>
    <row r="185" spans="1:16" ht="15" customHeight="1" thickBot="1">
      <c r="A185" s="13">
        <v>40578</v>
      </c>
      <c r="B185" s="14" t="s">
        <v>8</v>
      </c>
      <c r="C185" s="14" t="s">
        <v>19</v>
      </c>
      <c r="D185" s="15">
        <v>1380</v>
      </c>
      <c r="E185" s="14" t="s">
        <v>63</v>
      </c>
      <c r="F185" s="14" t="s">
        <v>15</v>
      </c>
      <c r="G185" s="14" t="s">
        <v>34</v>
      </c>
      <c r="H185" s="16">
        <v>60</v>
      </c>
      <c r="I185" s="15">
        <v>1380</v>
      </c>
      <c r="J185" s="16">
        <v>660</v>
      </c>
      <c r="K185" s="17">
        <v>76</v>
      </c>
      <c r="L185" s="17">
        <v>86</v>
      </c>
      <c r="M185" s="17">
        <v>75</v>
      </c>
      <c r="N185" s="17">
        <v>75</v>
      </c>
      <c r="O185" s="17">
        <v>312</v>
      </c>
      <c r="P185" s="11" t="s">
        <v>65</v>
      </c>
    </row>
    <row r="186" spans="1:16" ht="15" customHeight="1" thickBot="1">
      <c r="A186" s="13">
        <v>40557</v>
      </c>
      <c r="B186" s="14" t="s">
        <v>8</v>
      </c>
      <c r="C186" s="14" t="s">
        <v>9</v>
      </c>
      <c r="D186" s="16">
        <v>782</v>
      </c>
      <c r="E186" s="14" t="s">
        <v>63</v>
      </c>
      <c r="F186" s="14" t="s">
        <v>15</v>
      </c>
      <c r="G186" s="14" t="s">
        <v>36</v>
      </c>
      <c r="H186" s="16">
        <v>34</v>
      </c>
      <c r="I186" s="16">
        <v>782</v>
      </c>
      <c r="J186" s="16">
        <v>374</v>
      </c>
      <c r="K186" s="17">
        <v>85</v>
      </c>
      <c r="L186" s="17">
        <v>74</v>
      </c>
      <c r="M186" s="17">
        <v>92</v>
      </c>
      <c r="N186" s="17">
        <v>95</v>
      </c>
      <c r="O186" s="17">
        <v>346</v>
      </c>
      <c r="P186" s="11" t="s">
        <v>65</v>
      </c>
    </row>
    <row r="187" spans="1:16" ht="15" customHeight="1" thickBot="1">
      <c r="A187" s="13">
        <v>40565</v>
      </c>
      <c r="B187" s="14" t="s">
        <v>8</v>
      </c>
      <c r="C187" s="14" t="s">
        <v>26</v>
      </c>
      <c r="D187" s="16">
        <v>667</v>
      </c>
      <c r="E187" s="14" t="s">
        <v>83</v>
      </c>
      <c r="F187" s="14" t="s">
        <v>24</v>
      </c>
      <c r="G187" s="14" t="s">
        <v>37</v>
      </c>
      <c r="H187" s="16">
        <v>29</v>
      </c>
      <c r="I187" s="16">
        <v>667</v>
      </c>
      <c r="J187" s="16">
        <v>319</v>
      </c>
      <c r="K187" s="17">
        <v>85</v>
      </c>
      <c r="L187" s="17">
        <v>64</v>
      </c>
      <c r="M187" s="17">
        <v>62</v>
      </c>
      <c r="N187" s="17">
        <v>65</v>
      </c>
      <c r="O187" s="17">
        <v>276</v>
      </c>
      <c r="P187" s="11" t="s">
        <v>65</v>
      </c>
    </row>
    <row r="188" spans="1:16" ht="15" customHeight="1" thickBot="1">
      <c r="A188" s="13">
        <v>40549</v>
      </c>
      <c r="B188" s="14" t="s">
        <v>8</v>
      </c>
      <c r="C188" s="14" t="s">
        <v>19</v>
      </c>
      <c r="D188" s="16">
        <v>414</v>
      </c>
      <c r="E188" s="14" t="s">
        <v>63</v>
      </c>
      <c r="F188" s="14" t="s">
        <v>13</v>
      </c>
      <c r="G188" s="14" t="s">
        <v>38</v>
      </c>
      <c r="H188" s="16">
        <v>18</v>
      </c>
      <c r="I188" s="16">
        <v>414</v>
      </c>
      <c r="J188" s="16">
        <v>198</v>
      </c>
      <c r="K188" s="17">
        <v>75</v>
      </c>
      <c r="L188" s="17">
        <v>61</v>
      </c>
      <c r="M188" s="17">
        <v>71</v>
      </c>
      <c r="N188" s="17">
        <v>93</v>
      </c>
      <c r="O188" s="17">
        <v>300</v>
      </c>
      <c r="P188" s="11" t="s">
        <v>71</v>
      </c>
    </row>
    <row r="189" spans="1:16" ht="15" customHeight="1" thickBot="1">
      <c r="A189" s="13">
        <v>40571</v>
      </c>
      <c r="B189" s="14" t="s">
        <v>8</v>
      </c>
      <c r="C189" s="14" t="s">
        <v>19</v>
      </c>
      <c r="D189" s="16">
        <v>345</v>
      </c>
      <c r="E189" s="14" t="s">
        <v>63</v>
      </c>
      <c r="F189" s="14" t="s">
        <v>24</v>
      </c>
      <c r="G189" s="14" t="s">
        <v>39</v>
      </c>
      <c r="H189" s="16">
        <v>15</v>
      </c>
      <c r="I189" s="16">
        <v>345</v>
      </c>
      <c r="J189" s="16">
        <v>165</v>
      </c>
      <c r="K189" s="17">
        <v>60</v>
      </c>
      <c r="L189" s="17">
        <v>72</v>
      </c>
      <c r="M189" s="17">
        <v>93</v>
      </c>
      <c r="N189" s="17">
        <v>67</v>
      </c>
      <c r="O189" s="17">
        <v>292</v>
      </c>
      <c r="P189" s="11" t="s">
        <v>71</v>
      </c>
    </row>
    <row r="190" spans="1:16" ht="15" customHeight="1" thickBot="1">
      <c r="A190" s="13">
        <v>40571</v>
      </c>
      <c r="B190" s="14" t="s">
        <v>8</v>
      </c>
      <c r="C190" s="14" t="s">
        <v>26</v>
      </c>
      <c r="D190" s="15">
        <v>1058</v>
      </c>
      <c r="E190" s="14" t="s">
        <v>83</v>
      </c>
      <c r="F190" s="14" t="s">
        <v>15</v>
      </c>
      <c r="G190" s="14" t="s">
        <v>41</v>
      </c>
      <c r="H190" s="16">
        <v>46</v>
      </c>
      <c r="I190" s="15">
        <v>1058</v>
      </c>
      <c r="J190" s="16">
        <v>506</v>
      </c>
      <c r="K190" s="17">
        <v>91</v>
      </c>
      <c r="L190" s="17">
        <v>85</v>
      </c>
      <c r="M190" s="17">
        <v>75</v>
      </c>
      <c r="N190" s="17">
        <v>98</v>
      </c>
      <c r="O190" s="17">
        <v>349</v>
      </c>
      <c r="P190" s="11" t="s">
        <v>71</v>
      </c>
    </row>
    <row r="191" spans="1:16" ht="15" customHeight="1" thickBot="1">
      <c r="A191" s="13">
        <v>40560</v>
      </c>
      <c r="B191" s="14" t="s">
        <v>8</v>
      </c>
      <c r="C191" s="14" t="s">
        <v>9</v>
      </c>
      <c r="D191" s="16">
        <v>897</v>
      </c>
      <c r="E191" s="14" t="s">
        <v>63</v>
      </c>
      <c r="F191" s="14" t="s">
        <v>13</v>
      </c>
      <c r="G191" s="14" t="s">
        <v>42</v>
      </c>
      <c r="H191" s="16">
        <v>39</v>
      </c>
      <c r="I191" s="16">
        <v>897</v>
      </c>
      <c r="J191" s="16">
        <v>429</v>
      </c>
      <c r="K191" s="17">
        <v>94</v>
      </c>
      <c r="L191" s="17">
        <v>94</v>
      </c>
      <c r="M191" s="17">
        <v>89</v>
      </c>
      <c r="N191" s="17">
        <v>68</v>
      </c>
      <c r="O191" s="17">
        <v>345</v>
      </c>
      <c r="P191" s="11" t="s">
        <v>65</v>
      </c>
    </row>
    <row r="192" spans="1:16" ht="15" customHeight="1" thickBot="1">
      <c r="A192" s="13">
        <v>40605</v>
      </c>
      <c r="B192" s="14" t="s">
        <v>8</v>
      </c>
      <c r="C192" s="14" t="s">
        <v>9</v>
      </c>
      <c r="D192" s="16">
        <v>897</v>
      </c>
      <c r="E192" s="14" t="s">
        <v>63</v>
      </c>
      <c r="F192" s="14" t="s">
        <v>13</v>
      </c>
      <c r="G192" s="14" t="s">
        <v>42</v>
      </c>
      <c r="H192" s="16">
        <v>39</v>
      </c>
      <c r="I192" s="16">
        <v>897</v>
      </c>
      <c r="J192" s="16">
        <v>429</v>
      </c>
      <c r="K192" s="17">
        <v>72</v>
      </c>
      <c r="L192" s="17">
        <v>74</v>
      </c>
      <c r="M192" s="17">
        <v>77</v>
      </c>
      <c r="N192" s="17">
        <v>70</v>
      </c>
      <c r="O192" s="17">
        <v>293</v>
      </c>
      <c r="P192" s="11" t="s">
        <v>65</v>
      </c>
    </row>
    <row r="193" spans="1:16" ht="15" customHeight="1" thickBot="1">
      <c r="A193" s="13">
        <v>40570</v>
      </c>
      <c r="B193" s="14" t="s">
        <v>8</v>
      </c>
      <c r="C193" s="14" t="s">
        <v>19</v>
      </c>
      <c r="D193" s="16">
        <v>230</v>
      </c>
      <c r="E193" s="14" t="s">
        <v>63</v>
      </c>
      <c r="F193" s="14" t="s">
        <v>21</v>
      </c>
      <c r="G193" s="14" t="s">
        <v>45</v>
      </c>
      <c r="H193" s="16">
        <v>10</v>
      </c>
      <c r="I193" s="16">
        <v>230</v>
      </c>
      <c r="J193" s="16">
        <v>110</v>
      </c>
      <c r="K193" s="17">
        <v>72</v>
      </c>
      <c r="L193" s="17">
        <v>85</v>
      </c>
      <c r="M193" s="17">
        <v>77</v>
      </c>
      <c r="N193" s="17">
        <v>63</v>
      </c>
      <c r="O193" s="17">
        <v>297</v>
      </c>
      <c r="P193" s="11" t="s">
        <v>65</v>
      </c>
    </row>
    <row r="194" spans="1:16" ht="15" customHeight="1" thickBot="1">
      <c r="A194" s="13">
        <v>40559</v>
      </c>
      <c r="B194" s="14" t="s">
        <v>8</v>
      </c>
      <c r="C194" s="14" t="s">
        <v>26</v>
      </c>
      <c r="D194" s="16">
        <v>713</v>
      </c>
      <c r="E194" s="14" t="s">
        <v>83</v>
      </c>
      <c r="F194" s="14" t="s">
        <v>24</v>
      </c>
      <c r="G194" s="14" t="s">
        <v>45</v>
      </c>
      <c r="H194" s="16">
        <v>31</v>
      </c>
      <c r="I194" s="16">
        <v>713</v>
      </c>
      <c r="J194" s="16">
        <v>341</v>
      </c>
      <c r="K194" s="17">
        <v>73</v>
      </c>
      <c r="L194" s="17">
        <v>87</v>
      </c>
      <c r="M194" s="17">
        <v>89</v>
      </c>
      <c r="N194" s="17">
        <v>76</v>
      </c>
      <c r="O194" s="17">
        <v>325</v>
      </c>
      <c r="P194" s="11" t="s">
        <v>71</v>
      </c>
    </row>
    <row r="195" spans="1:16" ht="15" customHeight="1" thickBot="1">
      <c r="A195" s="13">
        <v>40552</v>
      </c>
      <c r="B195" s="14" t="s">
        <v>8</v>
      </c>
      <c r="C195" s="14" t="s">
        <v>9</v>
      </c>
      <c r="D195" s="16">
        <v>874</v>
      </c>
      <c r="E195" s="14" t="s">
        <v>63</v>
      </c>
      <c r="F195" s="14" t="s">
        <v>15</v>
      </c>
      <c r="G195" s="14" t="s">
        <v>50</v>
      </c>
      <c r="H195" s="16">
        <v>38</v>
      </c>
      <c r="I195" s="16">
        <v>874</v>
      </c>
      <c r="J195" s="16">
        <v>418</v>
      </c>
      <c r="K195" s="17">
        <v>90</v>
      </c>
      <c r="L195" s="17">
        <v>96</v>
      </c>
      <c r="M195" s="17">
        <v>93</v>
      </c>
      <c r="N195" s="17">
        <v>71</v>
      </c>
      <c r="O195" s="17">
        <v>350</v>
      </c>
      <c r="P195" s="11" t="s">
        <v>65</v>
      </c>
    </row>
    <row r="196" spans="1:16" ht="15" customHeight="1" thickBot="1">
      <c r="A196" s="13">
        <v>40597</v>
      </c>
      <c r="B196" s="14" t="s">
        <v>8</v>
      </c>
      <c r="C196" s="14" t="s">
        <v>9</v>
      </c>
      <c r="D196" s="16">
        <v>874</v>
      </c>
      <c r="E196" s="14" t="s">
        <v>63</v>
      </c>
      <c r="F196" s="14" t="s">
        <v>15</v>
      </c>
      <c r="G196" s="14" t="s">
        <v>50</v>
      </c>
      <c r="H196" s="16">
        <v>38</v>
      </c>
      <c r="I196" s="16">
        <v>874</v>
      </c>
      <c r="J196" s="16">
        <v>418</v>
      </c>
      <c r="K196" s="17">
        <v>93</v>
      </c>
      <c r="L196" s="17">
        <v>94</v>
      </c>
      <c r="M196" s="17">
        <v>89</v>
      </c>
      <c r="N196" s="17">
        <v>93</v>
      </c>
      <c r="O196" s="17">
        <v>369</v>
      </c>
      <c r="P196" s="11" t="s">
        <v>65</v>
      </c>
    </row>
    <row r="197" spans="1:16" ht="15" customHeight="1" thickBot="1">
      <c r="A197" s="13">
        <v>40561</v>
      </c>
      <c r="B197" s="14" t="s">
        <v>8</v>
      </c>
      <c r="C197" s="14" t="s">
        <v>26</v>
      </c>
      <c r="D197" s="15">
        <v>1219</v>
      </c>
      <c r="E197" s="14" t="s">
        <v>83</v>
      </c>
      <c r="F197" s="14" t="s">
        <v>24</v>
      </c>
      <c r="G197" s="14" t="s">
        <v>52</v>
      </c>
      <c r="H197" s="16">
        <v>53</v>
      </c>
      <c r="I197" s="15">
        <v>1219</v>
      </c>
      <c r="J197" s="16">
        <v>583</v>
      </c>
      <c r="K197" s="17">
        <v>70</v>
      </c>
      <c r="L197" s="17">
        <v>84</v>
      </c>
      <c r="M197" s="17">
        <v>87</v>
      </c>
      <c r="N197" s="17">
        <v>89</v>
      </c>
      <c r="O197" s="17">
        <v>330</v>
      </c>
      <c r="P197" s="11" t="s">
        <v>65</v>
      </c>
    </row>
    <row r="198" spans="1:16" ht="15" customHeight="1" thickBot="1">
      <c r="A198" s="13">
        <v>40544</v>
      </c>
      <c r="B198" s="14" t="s">
        <v>12</v>
      </c>
      <c r="C198" s="14" t="s">
        <v>9</v>
      </c>
      <c r="D198" s="16">
        <v>432</v>
      </c>
      <c r="E198" s="14" t="s">
        <v>63</v>
      </c>
      <c r="F198" s="14" t="s">
        <v>13</v>
      </c>
      <c r="G198" s="14" t="s">
        <v>66</v>
      </c>
      <c r="H198" s="16">
        <v>16</v>
      </c>
      <c r="I198" s="16">
        <v>432</v>
      </c>
      <c r="J198" s="16">
        <v>234</v>
      </c>
      <c r="K198" s="17">
        <v>97</v>
      </c>
      <c r="L198" s="17">
        <v>65</v>
      </c>
      <c r="M198" s="17">
        <v>87</v>
      </c>
      <c r="N198" s="17">
        <v>92</v>
      </c>
      <c r="O198" s="17">
        <v>341</v>
      </c>
      <c r="P198" s="11" t="s">
        <v>65</v>
      </c>
    </row>
    <row r="199" spans="1:16" ht="15" customHeight="1" thickBot="1">
      <c r="A199" s="13">
        <v>40554</v>
      </c>
      <c r="B199" s="14" t="s">
        <v>12</v>
      </c>
      <c r="C199" s="14" t="s">
        <v>9</v>
      </c>
      <c r="D199" s="15">
        <v>1323</v>
      </c>
      <c r="E199" s="14" t="s">
        <v>63</v>
      </c>
      <c r="F199" s="14" t="s">
        <v>24</v>
      </c>
      <c r="G199" s="14" t="s">
        <v>23</v>
      </c>
      <c r="H199" s="16">
        <v>49</v>
      </c>
      <c r="I199" s="15">
        <v>1323</v>
      </c>
      <c r="J199" s="16">
        <v>711</v>
      </c>
      <c r="K199" s="17">
        <v>82</v>
      </c>
      <c r="L199" s="17">
        <v>70</v>
      </c>
      <c r="M199" s="17">
        <v>70</v>
      </c>
      <c r="N199" s="17">
        <v>94</v>
      </c>
      <c r="O199" s="17">
        <v>316</v>
      </c>
      <c r="P199" s="11" t="s">
        <v>71</v>
      </c>
    </row>
    <row r="200" spans="1:16" ht="15" customHeight="1" thickBot="1">
      <c r="A200" s="13">
        <v>40553</v>
      </c>
      <c r="B200" s="14" t="s">
        <v>12</v>
      </c>
      <c r="C200" s="14" t="s">
        <v>9</v>
      </c>
      <c r="D200" s="16">
        <v>459</v>
      </c>
      <c r="E200" s="14" t="s">
        <v>63</v>
      </c>
      <c r="F200" s="14" t="s">
        <v>24</v>
      </c>
      <c r="G200" s="14" t="s">
        <v>27</v>
      </c>
      <c r="H200" s="16">
        <v>17</v>
      </c>
      <c r="I200" s="16">
        <v>459</v>
      </c>
      <c r="J200" s="16">
        <v>247</v>
      </c>
      <c r="K200" s="17">
        <v>72</v>
      </c>
      <c r="L200" s="17">
        <v>97</v>
      </c>
      <c r="M200" s="17">
        <v>66</v>
      </c>
      <c r="N200" s="17">
        <v>62</v>
      </c>
      <c r="O200" s="17">
        <v>297</v>
      </c>
      <c r="P200" s="11" t="s">
        <v>65</v>
      </c>
    </row>
    <row r="201" spans="1:16" ht="15" customHeight="1" thickBot="1">
      <c r="A201" s="13">
        <v>40560</v>
      </c>
      <c r="B201" s="14" t="s">
        <v>12</v>
      </c>
      <c r="C201" s="14" t="s">
        <v>22</v>
      </c>
      <c r="D201" s="15">
        <v>1647</v>
      </c>
      <c r="E201" s="14" t="s">
        <v>83</v>
      </c>
      <c r="F201" s="14" t="s">
        <v>17</v>
      </c>
      <c r="G201" s="14" t="s">
        <v>28</v>
      </c>
      <c r="H201" s="16">
        <v>61</v>
      </c>
      <c r="I201" s="15">
        <v>1647</v>
      </c>
      <c r="J201" s="16">
        <v>885</v>
      </c>
      <c r="K201" s="17">
        <v>89</v>
      </c>
      <c r="L201" s="17">
        <v>72</v>
      </c>
      <c r="M201" s="17">
        <v>73</v>
      </c>
      <c r="N201" s="17">
        <v>81</v>
      </c>
      <c r="O201" s="17">
        <v>315</v>
      </c>
      <c r="P201" s="11" t="s">
        <v>65</v>
      </c>
    </row>
    <row r="202" spans="1:16" ht="15" customHeight="1" thickBot="1">
      <c r="A202" s="13">
        <v>40564</v>
      </c>
      <c r="B202" s="14" t="s">
        <v>12</v>
      </c>
      <c r="C202" s="14" t="s">
        <v>9</v>
      </c>
      <c r="D202" s="15">
        <v>1566</v>
      </c>
      <c r="E202" s="14" t="s">
        <v>63</v>
      </c>
      <c r="F202" s="14" t="s">
        <v>17</v>
      </c>
      <c r="G202" s="14" t="s">
        <v>30</v>
      </c>
      <c r="H202" s="16">
        <v>58</v>
      </c>
      <c r="I202" s="15">
        <v>1566</v>
      </c>
      <c r="J202" s="16">
        <v>841</v>
      </c>
      <c r="K202" s="17">
        <v>70</v>
      </c>
      <c r="L202" s="17">
        <v>85</v>
      </c>
      <c r="M202" s="17">
        <v>96</v>
      </c>
      <c r="N202" s="17">
        <v>85</v>
      </c>
      <c r="O202" s="17">
        <v>336</v>
      </c>
      <c r="P202" s="11" t="s">
        <v>71</v>
      </c>
    </row>
    <row r="203" spans="1:16" ht="15" customHeight="1" thickBot="1">
      <c r="A203" s="13">
        <v>40565</v>
      </c>
      <c r="B203" s="14" t="s">
        <v>12</v>
      </c>
      <c r="C203" s="14" t="s">
        <v>26</v>
      </c>
      <c r="D203" s="16">
        <v>783</v>
      </c>
      <c r="E203" s="14" t="s">
        <v>83</v>
      </c>
      <c r="F203" s="14" t="s">
        <v>15</v>
      </c>
      <c r="G203" s="14" t="s">
        <v>30</v>
      </c>
      <c r="H203" s="16">
        <v>29</v>
      </c>
      <c r="I203" s="16">
        <v>783</v>
      </c>
      <c r="J203" s="16">
        <v>421</v>
      </c>
      <c r="K203" s="17">
        <v>82</v>
      </c>
      <c r="L203" s="17">
        <v>72</v>
      </c>
      <c r="M203" s="17">
        <v>99</v>
      </c>
      <c r="N203" s="17">
        <v>78</v>
      </c>
      <c r="O203" s="17">
        <v>331</v>
      </c>
      <c r="P203" s="11" t="s">
        <v>71</v>
      </c>
    </row>
    <row r="204" spans="1:16" ht="15" customHeight="1" thickBot="1">
      <c r="A204" s="13">
        <v>40551</v>
      </c>
      <c r="B204" s="14" t="s">
        <v>12</v>
      </c>
      <c r="C204" s="14" t="s">
        <v>19</v>
      </c>
      <c r="D204" s="16">
        <v>432</v>
      </c>
      <c r="E204" s="14" t="s">
        <v>63</v>
      </c>
      <c r="F204" s="14" t="s">
        <v>17</v>
      </c>
      <c r="G204" s="14" t="s">
        <v>33</v>
      </c>
      <c r="H204" s="16">
        <v>16</v>
      </c>
      <c r="I204" s="16">
        <v>432</v>
      </c>
      <c r="J204" s="16">
        <v>232</v>
      </c>
      <c r="K204" s="17">
        <v>80</v>
      </c>
      <c r="L204" s="17">
        <v>84</v>
      </c>
      <c r="M204" s="17">
        <v>100</v>
      </c>
      <c r="N204" s="17">
        <v>88</v>
      </c>
      <c r="O204" s="17">
        <v>352</v>
      </c>
      <c r="P204" s="11" t="s">
        <v>71</v>
      </c>
    </row>
    <row r="205" spans="1:16" ht="15" customHeight="1" thickBot="1">
      <c r="A205" s="13">
        <v>40560</v>
      </c>
      <c r="B205" s="14" t="s">
        <v>12</v>
      </c>
      <c r="C205" s="14" t="s">
        <v>9</v>
      </c>
      <c r="D205" s="15">
        <v>1674</v>
      </c>
      <c r="E205" s="14" t="s">
        <v>63</v>
      </c>
      <c r="F205" s="14" t="s">
        <v>15</v>
      </c>
      <c r="G205" s="14" t="s">
        <v>33</v>
      </c>
      <c r="H205" s="16">
        <v>62</v>
      </c>
      <c r="I205" s="15">
        <v>1674</v>
      </c>
      <c r="J205" s="16">
        <v>899</v>
      </c>
      <c r="K205" s="17">
        <v>100</v>
      </c>
      <c r="L205" s="17">
        <v>76</v>
      </c>
      <c r="M205" s="17">
        <v>81</v>
      </c>
      <c r="N205" s="17">
        <v>78</v>
      </c>
      <c r="O205" s="17">
        <v>335</v>
      </c>
      <c r="P205" s="11" t="s">
        <v>65</v>
      </c>
    </row>
    <row r="206" spans="1:16" ht="15" customHeight="1" thickBot="1">
      <c r="A206" s="13">
        <v>40590</v>
      </c>
      <c r="B206" s="14" t="s">
        <v>12</v>
      </c>
      <c r="C206" s="14" t="s">
        <v>9</v>
      </c>
      <c r="D206" s="15">
        <v>1674</v>
      </c>
      <c r="E206" s="14" t="s">
        <v>63</v>
      </c>
      <c r="F206" s="14" t="s">
        <v>15</v>
      </c>
      <c r="G206" s="14" t="s">
        <v>33</v>
      </c>
      <c r="H206" s="16">
        <v>62</v>
      </c>
      <c r="I206" s="15">
        <v>1674</v>
      </c>
      <c r="J206" s="16">
        <v>899</v>
      </c>
      <c r="K206" s="17">
        <v>60</v>
      </c>
      <c r="L206" s="17">
        <v>71</v>
      </c>
      <c r="M206" s="17">
        <v>83</v>
      </c>
      <c r="N206" s="17">
        <v>61</v>
      </c>
      <c r="O206" s="17">
        <v>275</v>
      </c>
      <c r="P206" s="11" t="s">
        <v>71</v>
      </c>
    </row>
    <row r="207" spans="1:16" ht="15" customHeight="1" thickBot="1">
      <c r="A207" s="13">
        <v>40567</v>
      </c>
      <c r="B207" s="14" t="s">
        <v>12</v>
      </c>
      <c r="C207" s="14" t="s">
        <v>19</v>
      </c>
      <c r="D207" s="15">
        <v>1701</v>
      </c>
      <c r="E207" s="14" t="s">
        <v>63</v>
      </c>
      <c r="F207" s="14" t="s">
        <v>21</v>
      </c>
      <c r="G207" s="14" t="s">
        <v>33</v>
      </c>
      <c r="H207" s="16">
        <v>63</v>
      </c>
      <c r="I207" s="15">
        <v>1701</v>
      </c>
      <c r="J207" s="16">
        <v>914</v>
      </c>
      <c r="K207" s="17">
        <v>79</v>
      </c>
      <c r="L207" s="17">
        <v>61</v>
      </c>
      <c r="M207" s="17">
        <v>85</v>
      </c>
      <c r="N207" s="17">
        <v>71</v>
      </c>
      <c r="O207" s="17">
        <v>296</v>
      </c>
      <c r="P207" s="11" t="s">
        <v>65</v>
      </c>
    </row>
    <row r="208" spans="1:16" ht="15" customHeight="1" thickBot="1">
      <c r="A208" s="13">
        <v>40554</v>
      </c>
      <c r="B208" s="14" t="s">
        <v>12</v>
      </c>
      <c r="C208" s="14" t="s">
        <v>9</v>
      </c>
      <c r="D208" s="16">
        <v>378</v>
      </c>
      <c r="E208" s="14" t="s">
        <v>63</v>
      </c>
      <c r="F208" s="14" t="s">
        <v>15</v>
      </c>
      <c r="G208" s="14" t="s">
        <v>35</v>
      </c>
      <c r="H208" s="16">
        <v>14</v>
      </c>
      <c r="I208" s="16">
        <v>378</v>
      </c>
      <c r="J208" s="16">
        <v>203</v>
      </c>
      <c r="K208" s="17">
        <v>81</v>
      </c>
      <c r="L208" s="17">
        <v>83</v>
      </c>
      <c r="M208" s="17">
        <v>67</v>
      </c>
      <c r="N208" s="17">
        <v>70</v>
      </c>
      <c r="O208" s="17">
        <v>301</v>
      </c>
      <c r="P208" s="11" t="s">
        <v>71</v>
      </c>
    </row>
    <row r="209" spans="1:16" ht="15" customHeight="1" thickBot="1">
      <c r="A209" s="13">
        <v>40599</v>
      </c>
      <c r="B209" s="14" t="s">
        <v>12</v>
      </c>
      <c r="C209" s="14" t="s">
        <v>9</v>
      </c>
      <c r="D209" s="16">
        <v>378</v>
      </c>
      <c r="E209" s="14" t="s">
        <v>63</v>
      </c>
      <c r="F209" s="14" t="s">
        <v>15</v>
      </c>
      <c r="G209" s="14" t="s">
        <v>35</v>
      </c>
      <c r="H209" s="16">
        <v>14</v>
      </c>
      <c r="I209" s="16">
        <v>378</v>
      </c>
      <c r="J209" s="16">
        <v>203</v>
      </c>
      <c r="K209" s="17">
        <v>60</v>
      </c>
      <c r="L209" s="17">
        <v>89</v>
      </c>
      <c r="M209" s="17">
        <v>77</v>
      </c>
      <c r="N209" s="17">
        <v>100</v>
      </c>
      <c r="O209" s="17">
        <v>326</v>
      </c>
      <c r="P209" s="11" t="s">
        <v>71</v>
      </c>
    </row>
    <row r="210" spans="1:16" ht="15" customHeight="1" thickBot="1">
      <c r="A210" s="13">
        <v>40564</v>
      </c>
      <c r="B210" s="14" t="s">
        <v>12</v>
      </c>
      <c r="C210" s="14" t="s">
        <v>19</v>
      </c>
      <c r="D210" s="15">
        <v>1512</v>
      </c>
      <c r="E210" s="14" t="s">
        <v>63</v>
      </c>
      <c r="F210" s="14" t="s">
        <v>21</v>
      </c>
      <c r="G210" s="14" t="s">
        <v>35</v>
      </c>
      <c r="H210" s="16">
        <v>56</v>
      </c>
      <c r="I210" s="15">
        <v>1512</v>
      </c>
      <c r="J210" s="16">
        <v>812</v>
      </c>
      <c r="K210" s="17">
        <v>95</v>
      </c>
      <c r="L210" s="17">
        <v>71</v>
      </c>
      <c r="M210" s="17">
        <v>77</v>
      </c>
      <c r="N210" s="17">
        <v>75</v>
      </c>
      <c r="O210" s="17">
        <v>318</v>
      </c>
      <c r="P210" s="11" t="s">
        <v>71</v>
      </c>
    </row>
    <row r="211" spans="1:16" ht="15" customHeight="1" thickBot="1">
      <c r="A211" s="13">
        <v>40571</v>
      </c>
      <c r="B211" s="14" t="s">
        <v>12</v>
      </c>
      <c r="C211" s="14" t="s">
        <v>26</v>
      </c>
      <c r="D211" s="15">
        <v>1512</v>
      </c>
      <c r="E211" s="14" t="s">
        <v>83</v>
      </c>
      <c r="F211" s="14" t="s">
        <v>21</v>
      </c>
      <c r="G211" s="14" t="s">
        <v>37</v>
      </c>
      <c r="H211" s="16">
        <v>56</v>
      </c>
      <c r="I211" s="15">
        <v>1512</v>
      </c>
      <c r="J211" s="16">
        <v>812</v>
      </c>
      <c r="K211" s="17">
        <v>80</v>
      </c>
      <c r="L211" s="17">
        <v>88</v>
      </c>
      <c r="M211" s="17">
        <v>93</v>
      </c>
      <c r="N211" s="17">
        <v>100</v>
      </c>
      <c r="O211" s="17">
        <v>361</v>
      </c>
      <c r="P211" s="11" t="s">
        <v>71</v>
      </c>
    </row>
    <row r="212" spans="1:16" ht="15" customHeight="1" thickBot="1">
      <c r="A212" s="13">
        <v>40616</v>
      </c>
      <c r="B212" s="14" t="s">
        <v>12</v>
      </c>
      <c r="C212" s="14" t="s">
        <v>26</v>
      </c>
      <c r="D212" s="15">
        <v>1512</v>
      </c>
      <c r="E212" s="14" t="s">
        <v>83</v>
      </c>
      <c r="F212" s="14" t="s">
        <v>21</v>
      </c>
      <c r="G212" s="14" t="s">
        <v>37</v>
      </c>
      <c r="H212" s="16">
        <v>56</v>
      </c>
      <c r="I212" s="15">
        <v>1512</v>
      </c>
      <c r="J212" s="16">
        <v>812</v>
      </c>
      <c r="K212" s="17">
        <v>91</v>
      </c>
      <c r="L212" s="17">
        <v>84</v>
      </c>
      <c r="M212" s="17">
        <v>93</v>
      </c>
      <c r="N212" s="17">
        <v>71</v>
      </c>
      <c r="O212" s="17">
        <v>339</v>
      </c>
      <c r="P212" s="11" t="s">
        <v>65</v>
      </c>
    </row>
    <row r="213" spans="1:16" ht="15" customHeight="1" thickBot="1">
      <c r="A213" s="13">
        <v>40553</v>
      </c>
      <c r="B213" s="14" t="s">
        <v>12</v>
      </c>
      <c r="C213" s="14" t="s">
        <v>19</v>
      </c>
      <c r="D213" s="15">
        <v>1755</v>
      </c>
      <c r="E213" s="14" t="s">
        <v>63</v>
      </c>
      <c r="F213" s="14" t="s">
        <v>24</v>
      </c>
      <c r="G213" s="14" t="s">
        <v>37</v>
      </c>
      <c r="H213" s="16">
        <v>65</v>
      </c>
      <c r="I213" s="15">
        <v>1755</v>
      </c>
      <c r="J213" s="16">
        <v>943</v>
      </c>
      <c r="K213" s="17">
        <v>66</v>
      </c>
      <c r="L213" s="17">
        <v>82</v>
      </c>
      <c r="M213" s="17">
        <v>89</v>
      </c>
      <c r="N213" s="17">
        <v>64</v>
      </c>
      <c r="O213" s="17">
        <v>301</v>
      </c>
      <c r="P213" s="11" t="s">
        <v>65</v>
      </c>
    </row>
    <row r="214" spans="1:16" ht="15" customHeight="1" thickBot="1">
      <c r="A214" s="13">
        <v>40560</v>
      </c>
      <c r="B214" s="14" t="s">
        <v>12</v>
      </c>
      <c r="C214" s="14" t="s">
        <v>19</v>
      </c>
      <c r="D214" s="16">
        <v>270</v>
      </c>
      <c r="E214" s="14" t="s">
        <v>63</v>
      </c>
      <c r="F214" s="14" t="s">
        <v>17</v>
      </c>
      <c r="G214" s="14" t="s">
        <v>42</v>
      </c>
      <c r="H214" s="16">
        <v>10</v>
      </c>
      <c r="I214" s="16">
        <v>270</v>
      </c>
      <c r="J214" s="16">
        <v>145</v>
      </c>
      <c r="K214" s="17">
        <v>84</v>
      </c>
      <c r="L214" s="17">
        <v>79</v>
      </c>
      <c r="M214" s="17">
        <v>76</v>
      </c>
      <c r="N214" s="17">
        <v>86</v>
      </c>
      <c r="O214" s="17">
        <v>325</v>
      </c>
      <c r="P214" s="11" t="s">
        <v>71</v>
      </c>
    </row>
    <row r="215" spans="1:16" ht="15" customHeight="1" thickBot="1">
      <c r="A215" s="13">
        <v>40605</v>
      </c>
      <c r="B215" s="14" t="s">
        <v>12</v>
      </c>
      <c r="C215" s="14" t="s">
        <v>19</v>
      </c>
      <c r="D215" s="16">
        <v>270</v>
      </c>
      <c r="E215" s="14" t="s">
        <v>63</v>
      </c>
      <c r="F215" s="14" t="s">
        <v>17</v>
      </c>
      <c r="G215" s="14" t="s">
        <v>42</v>
      </c>
      <c r="H215" s="16">
        <v>10</v>
      </c>
      <c r="I215" s="16">
        <v>270</v>
      </c>
      <c r="J215" s="16">
        <v>145</v>
      </c>
      <c r="K215" s="17">
        <v>78</v>
      </c>
      <c r="L215" s="17">
        <v>72</v>
      </c>
      <c r="M215" s="17">
        <v>95</v>
      </c>
      <c r="N215" s="17">
        <v>80</v>
      </c>
      <c r="O215" s="17">
        <v>325</v>
      </c>
      <c r="P215" s="11" t="s">
        <v>71</v>
      </c>
    </row>
    <row r="216" spans="1:16" ht="15" customHeight="1" thickBot="1">
      <c r="A216" s="13">
        <v>40566</v>
      </c>
      <c r="B216" s="14" t="s">
        <v>12</v>
      </c>
      <c r="C216" s="14" t="s">
        <v>9</v>
      </c>
      <c r="D216" s="15">
        <v>1188</v>
      </c>
      <c r="E216" s="14" t="s">
        <v>63</v>
      </c>
      <c r="F216" s="14" t="s">
        <v>15</v>
      </c>
      <c r="G216" s="14" t="s">
        <v>42</v>
      </c>
      <c r="H216" s="16">
        <v>44</v>
      </c>
      <c r="I216" s="15">
        <v>1188</v>
      </c>
      <c r="J216" s="16">
        <v>638</v>
      </c>
      <c r="K216" s="17">
        <v>72</v>
      </c>
      <c r="L216" s="17">
        <v>99</v>
      </c>
      <c r="M216" s="17">
        <v>97</v>
      </c>
      <c r="N216" s="17">
        <v>90</v>
      </c>
      <c r="O216" s="17">
        <v>358</v>
      </c>
      <c r="P216" s="11" t="s">
        <v>65</v>
      </c>
    </row>
    <row r="217" spans="1:16" ht="15" customHeight="1" thickBot="1">
      <c r="A217" s="13">
        <v>40549</v>
      </c>
      <c r="B217" s="14" t="s">
        <v>12</v>
      </c>
      <c r="C217" s="14" t="s">
        <v>19</v>
      </c>
      <c r="D217" s="15">
        <v>1728</v>
      </c>
      <c r="E217" s="14" t="s">
        <v>63</v>
      </c>
      <c r="F217" s="14" t="s">
        <v>13</v>
      </c>
      <c r="G217" s="14" t="s">
        <v>42</v>
      </c>
      <c r="H217" s="16">
        <v>64</v>
      </c>
      <c r="I217" s="15">
        <v>1728</v>
      </c>
      <c r="J217" s="16">
        <v>928</v>
      </c>
      <c r="K217" s="17">
        <v>97</v>
      </c>
      <c r="L217" s="17">
        <v>62</v>
      </c>
      <c r="M217" s="17">
        <v>71</v>
      </c>
      <c r="N217" s="17">
        <v>85</v>
      </c>
      <c r="O217" s="17">
        <v>315</v>
      </c>
      <c r="P217" s="11" t="s">
        <v>65</v>
      </c>
    </row>
    <row r="218" spans="1:16" ht="15" customHeight="1" thickBot="1">
      <c r="A218" s="13">
        <v>40572</v>
      </c>
      <c r="B218" s="14" t="s">
        <v>12</v>
      </c>
      <c r="C218" s="14" t="s">
        <v>22</v>
      </c>
      <c r="D218" s="16">
        <v>270</v>
      </c>
      <c r="E218" s="14" t="s">
        <v>83</v>
      </c>
      <c r="F218" s="14" t="s">
        <v>21</v>
      </c>
      <c r="G218" s="14" t="s">
        <v>43</v>
      </c>
      <c r="H218" s="16">
        <v>10</v>
      </c>
      <c r="I218" s="16">
        <v>270</v>
      </c>
      <c r="J218" s="16">
        <v>145</v>
      </c>
      <c r="K218" s="17">
        <v>76</v>
      </c>
      <c r="L218" s="17">
        <v>77</v>
      </c>
      <c r="M218" s="17">
        <v>90</v>
      </c>
      <c r="N218" s="17">
        <v>61</v>
      </c>
      <c r="O218" s="17">
        <v>304</v>
      </c>
      <c r="P218" s="11" t="s">
        <v>71</v>
      </c>
    </row>
    <row r="219" spans="1:16" ht="15" customHeight="1" thickBot="1">
      <c r="A219" s="13">
        <v>40561</v>
      </c>
      <c r="B219" s="14" t="s">
        <v>12</v>
      </c>
      <c r="C219" s="14" t="s">
        <v>22</v>
      </c>
      <c r="D219" s="16">
        <v>459</v>
      </c>
      <c r="E219" s="14" t="s">
        <v>83</v>
      </c>
      <c r="F219" s="14" t="s">
        <v>24</v>
      </c>
      <c r="G219" s="14" t="s">
        <v>43</v>
      </c>
      <c r="H219" s="16">
        <v>17</v>
      </c>
      <c r="I219" s="16">
        <v>459</v>
      </c>
      <c r="J219" s="16">
        <v>247</v>
      </c>
      <c r="K219" s="17">
        <v>84</v>
      </c>
      <c r="L219" s="17">
        <v>63</v>
      </c>
      <c r="M219" s="17">
        <v>90</v>
      </c>
      <c r="N219" s="17">
        <v>88</v>
      </c>
      <c r="O219" s="17">
        <v>325</v>
      </c>
      <c r="P219" s="11" t="s">
        <v>65</v>
      </c>
    </row>
    <row r="220" spans="1:16" ht="15" customHeight="1" thickBot="1">
      <c r="A220" s="13">
        <v>40545</v>
      </c>
      <c r="B220" s="14" t="s">
        <v>12</v>
      </c>
      <c r="C220" s="14" t="s">
        <v>19</v>
      </c>
      <c r="D220" s="16">
        <v>810</v>
      </c>
      <c r="E220" s="14" t="s">
        <v>63</v>
      </c>
      <c r="F220" s="14" t="s">
        <v>10</v>
      </c>
      <c r="G220" s="14" t="s">
        <v>77</v>
      </c>
      <c r="H220" s="16">
        <v>30</v>
      </c>
      <c r="I220" s="16">
        <v>810</v>
      </c>
      <c r="J220" s="16">
        <v>435</v>
      </c>
      <c r="K220" s="17">
        <v>74</v>
      </c>
      <c r="L220" s="17">
        <v>60</v>
      </c>
      <c r="M220" s="17">
        <v>94</v>
      </c>
      <c r="N220" s="17">
        <v>97</v>
      </c>
      <c r="O220" s="17">
        <v>325</v>
      </c>
      <c r="P220" s="11" t="s">
        <v>65</v>
      </c>
    </row>
    <row r="221" spans="1:16" ht="15" customHeight="1" thickBot="1">
      <c r="A221" s="13">
        <v>40560</v>
      </c>
      <c r="B221" s="14" t="s">
        <v>12</v>
      </c>
      <c r="C221" s="14" t="s">
        <v>9</v>
      </c>
      <c r="D221" s="15">
        <v>1161</v>
      </c>
      <c r="E221" s="14" t="s">
        <v>63</v>
      </c>
      <c r="F221" s="14" t="s">
        <v>21</v>
      </c>
      <c r="G221" s="14" t="s">
        <v>46</v>
      </c>
      <c r="H221" s="16">
        <v>43</v>
      </c>
      <c r="I221" s="15">
        <v>1161</v>
      </c>
      <c r="J221" s="16">
        <v>624</v>
      </c>
      <c r="K221" s="17">
        <v>79</v>
      </c>
      <c r="L221" s="17">
        <v>66</v>
      </c>
      <c r="M221" s="17">
        <v>84</v>
      </c>
      <c r="N221" s="17">
        <v>62</v>
      </c>
      <c r="O221" s="17">
        <v>291</v>
      </c>
      <c r="P221" s="11" t="s">
        <v>71</v>
      </c>
    </row>
    <row r="222" spans="1:16" ht="15" customHeight="1" thickBot="1">
      <c r="A222" s="13">
        <v>40590</v>
      </c>
      <c r="B222" s="14" t="s">
        <v>12</v>
      </c>
      <c r="C222" s="14" t="s">
        <v>9</v>
      </c>
      <c r="D222" s="15">
        <v>1161</v>
      </c>
      <c r="E222" s="14" t="s">
        <v>63</v>
      </c>
      <c r="F222" s="14" t="s">
        <v>21</v>
      </c>
      <c r="G222" s="14" t="s">
        <v>46</v>
      </c>
      <c r="H222" s="16">
        <v>43</v>
      </c>
      <c r="I222" s="15">
        <v>1161</v>
      </c>
      <c r="J222" s="16">
        <v>624</v>
      </c>
      <c r="K222" s="17">
        <v>60</v>
      </c>
      <c r="L222" s="17">
        <v>96</v>
      </c>
      <c r="M222" s="17">
        <v>93</v>
      </c>
      <c r="N222" s="17">
        <v>66</v>
      </c>
      <c r="O222" s="17">
        <v>315</v>
      </c>
      <c r="P222" s="11" t="s">
        <v>65</v>
      </c>
    </row>
    <row r="223" spans="1:16" ht="15" customHeight="1" thickBot="1">
      <c r="A223" s="13">
        <v>40573</v>
      </c>
      <c r="B223" s="14" t="s">
        <v>12</v>
      </c>
      <c r="C223" s="14" t="s">
        <v>26</v>
      </c>
      <c r="D223" s="16">
        <v>675</v>
      </c>
      <c r="E223" s="14" t="s">
        <v>83</v>
      </c>
      <c r="F223" s="14" t="s">
        <v>13</v>
      </c>
      <c r="G223" s="14" t="s">
        <v>49</v>
      </c>
      <c r="H223" s="16">
        <v>25</v>
      </c>
      <c r="I223" s="16">
        <v>675</v>
      </c>
      <c r="J223" s="16">
        <v>363</v>
      </c>
      <c r="K223" s="17">
        <v>82</v>
      </c>
      <c r="L223" s="17">
        <v>68</v>
      </c>
      <c r="M223" s="17">
        <v>80</v>
      </c>
      <c r="N223" s="17">
        <v>64</v>
      </c>
      <c r="O223" s="17">
        <v>294</v>
      </c>
      <c r="P223" s="11" t="s">
        <v>71</v>
      </c>
    </row>
    <row r="224" spans="1:16" ht="15" customHeight="1" thickBot="1">
      <c r="A224" s="13">
        <v>40546</v>
      </c>
      <c r="B224" s="14" t="s">
        <v>12</v>
      </c>
      <c r="C224" s="14" t="s">
        <v>26</v>
      </c>
      <c r="D224" s="16">
        <v>483</v>
      </c>
      <c r="E224" s="14" t="s">
        <v>83</v>
      </c>
      <c r="F224" s="14" t="s">
        <v>10</v>
      </c>
      <c r="G224" s="14" t="s">
        <v>50</v>
      </c>
      <c r="H224" s="16">
        <v>23</v>
      </c>
      <c r="I224" s="16">
        <v>483</v>
      </c>
      <c r="J224" s="16">
        <v>213</v>
      </c>
      <c r="K224" s="17">
        <v>73</v>
      </c>
      <c r="L224" s="17">
        <v>87</v>
      </c>
      <c r="M224" s="17">
        <v>74</v>
      </c>
      <c r="N224" s="17">
        <v>82</v>
      </c>
      <c r="O224" s="17">
        <v>316</v>
      </c>
      <c r="P224" s="11" t="s">
        <v>71</v>
      </c>
    </row>
    <row r="225" spans="1:16" ht="15" customHeight="1" thickBot="1">
      <c r="A225" s="13">
        <v>40566</v>
      </c>
      <c r="B225" s="21" t="s">
        <v>12</v>
      </c>
      <c r="C225" s="14" t="s">
        <v>9</v>
      </c>
      <c r="D225" s="16">
        <v>594</v>
      </c>
      <c r="E225" s="14" t="s">
        <v>63</v>
      </c>
      <c r="F225" s="14" t="s">
        <v>10</v>
      </c>
      <c r="G225" s="14" t="s">
        <v>51</v>
      </c>
      <c r="H225" s="16">
        <v>22</v>
      </c>
      <c r="I225" s="16">
        <v>594</v>
      </c>
      <c r="J225" s="16">
        <v>319</v>
      </c>
      <c r="K225" s="17">
        <v>89</v>
      </c>
      <c r="L225" s="17">
        <v>99</v>
      </c>
      <c r="M225" s="17">
        <v>98</v>
      </c>
      <c r="N225" s="17">
        <v>95</v>
      </c>
      <c r="O225" s="17">
        <v>381</v>
      </c>
      <c r="P225" s="11" t="s">
        <v>65</v>
      </c>
    </row>
    <row r="226" spans="1:16" ht="15" customHeight="1" thickBot="1">
      <c r="A226" s="13">
        <v>40571</v>
      </c>
      <c r="B226" s="14" t="s">
        <v>12</v>
      </c>
      <c r="C226" s="14" t="s">
        <v>26</v>
      </c>
      <c r="D226" s="15">
        <v>1188</v>
      </c>
      <c r="E226" s="14" t="s">
        <v>83</v>
      </c>
      <c r="F226" s="14" t="s">
        <v>15</v>
      </c>
      <c r="G226" s="14" t="s">
        <v>52</v>
      </c>
      <c r="H226" s="16">
        <v>44</v>
      </c>
      <c r="I226" s="15">
        <v>1188</v>
      </c>
      <c r="J226" s="16">
        <v>638</v>
      </c>
      <c r="K226" s="17">
        <v>96</v>
      </c>
      <c r="L226" s="17">
        <v>65</v>
      </c>
      <c r="M226" s="17">
        <v>97</v>
      </c>
      <c r="N226" s="17">
        <v>61</v>
      </c>
      <c r="O226" s="17">
        <v>319</v>
      </c>
      <c r="P226" s="11" t="s">
        <v>71</v>
      </c>
    </row>
    <row r="227" spans="1:16" ht="15" customHeight="1" thickBot="1">
      <c r="A227" s="13">
        <v>40616</v>
      </c>
      <c r="B227" s="14" t="s">
        <v>12</v>
      </c>
      <c r="C227" s="14" t="s">
        <v>26</v>
      </c>
      <c r="D227" s="15">
        <v>1188</v>
      </c>
      <c r="E227" s="14" t="s">
        <v>83</v>
      </c>
      <c r="F227" s="14" t="s">
        <v>15</v>
      </c>
      <c r="G227" s="14" t="s">
        <v>52</v>
      </c>
      <c r="H227" s="16">
        <v>44</v>
      </c>
      <c r="I227" s="15">
        <v>1188</v>
      </c>
      <c r="J227" s="16">
        <v>638</v>
      </c>
      <c r="K227" s="17">
        <v>70</v>
      </c>
      <c r="L227" s="17">
        <v>75</v>
      </c>
      <c r="M227" s="17">
        <v>100</v>
      </c>
      <c r="N227" s="17">
        <v>82</v>
      </c>
      <c r="O227" s="17">
        <v>327</v>
      </c>
      <c r="P227" s="11" t="s">
        <v>71</v>
      </c>
    </row>
    <row r="228" spans="1:16" ht="15" customHeight="1" thickBot="1">
      <c r="A228" s="13">
        <v>40589</v>
      </c>
      <c r="B228" s="14" t="s">
        <v>12</v>
      </c>
      <c r="C228" s="14" t="s">
        <v>22</v>
      </c>
      <c r="D228" s="15">
        <v>1232</v>
      </c>
      <c r="E228" s="14" t="s">
        <v>83</v>
      </c>
      <c r="F228" s="14" t="s">
        <v>13</v>
      </c>
      <c r="G228" s="14" t="s">
        <v>52</v>
      </c>
      <c r="H228" s="16">
        <v>56</v>
      </c>
      <c r="I228" s="15">
        <v>1232</v>
      </c>
      <c r="J228" s="16">
        <v>560</v>
      </c>
      <c r="K228" s="17">
        <v>84</v>
      </c>
      <c r="L228" s="17">
        <v>64</v>
      </c>
      <c r="M228" s="17">
        <v>65</v>
      </c>
      <c r="N228" s="17">
        <v>74</v>
      </c>
      <c r="O228" s="17">
        <v>287</v>
      </c>
      <c r="P228" s="11" t="s">
        <v>71</v>
      </c>
    </row>
    <row r="229" spans="1:16" ht="15" customHeight="1" thickBot="1">
      <c r="A229" s="13">
        <v>40571</v>
      </c>
      <c r="B229" s="14" t="s">
        <v>12</v>
      </c>
      <c r="C229" s="14" t="s">
        <v>22</v>
      </c>
      <c r="D229" s="15">
        <v>1134</v>
      </c>
      <c r="E229" s="14" t="s">
        <v>83</v>
      </c>
      <c r="F229" s="14" t="s">
        <v>24</v>
      </c>
      <c r="G229" s="14" t="s">
        <v>52</v>
      </c>
      <c r="H229" s="16">
        <v>42</v>
      </c>
      <c r="I229" s="15">
        <v>1134</v>
      </c>
      <c r="J229" s="16">
        <v>609</v>
      </c>
      <c r="K229" s="17">
        <v>70</v>
      </c>
      <c r="L229" s="17">
        <v>90</v>
      </c>
      <c r="M229" s="17">
        <v>82</v>
      </c>
      <c r="N229" s="17">
        <v>81</v>
      </c>
      <c r="O229" s="17">
        <v>323</v>
      </c>
      <c r="P229" s="11" t="s">
        <v>65</v>
      </c>
    </row>
    <row r="230" spans="1:16" ht="15" customHeight="1" thickBot="1">
      <c r="A230" s="13">
        <v>40558</v>
      </c>
      <c r="B230" s="14" t="s">
        <v>20</v>
      </c>
      <c r="C230" s="14" t="s">
        <v>9</v>
      </c>
      <c r="D230" s="15">
        <v>1323</v>
      </c>
      <c r="E230" s="14" t="s">
        <v>63</v>
      </c>
      <c r="F230" s="14" t="s">
        <v>21</v>
      </c>
      <c r="G230" s="14" t="s">
        <v>18</v>
      </c>
      <c r="H230" s="16">
        <v>63</v>
      </c>
      <c r="I230" s="15">
        <v>1323</v>
      </c>
      <c r="J230" s="16">
        <v>583</v>
      </c>
      <c r="K230" s="17">
        <v>81</v>
      </c>
      <c r="L230" s="17">
        <v>70</v>
      </c>
      <c r="M230" s="17">
        <v>67</v>
      </c>
      <c r="N230" s="17">
        <v>85</v>
      </c>
      <c r="O230" s="17">
        <v>303</v>
      </c>
      <c r="P230" s="11" t="s">
        <v>65</v>
      </c>
    </row>
    <row r="231" spans="1:16" ht="15" customHeight="1" thickBot="1">
      <c r="A231" s="13">
        <v>40547</v>
      </c>
      <c r="B231" s="14" t="s">
        <v>20</v>
      </c>
      <c r="C231" s="14" t="s">
        <v>22</v>
      </c>
      <c r="D231" s="16">
        <v>609</v>
      </c>
      <c r="E231" s="14" t="s">
        <v>83</v>
      </c>
      <c r="F231" s="14" t="s">
        <v>13</v>
      </c>
      <c r="G231" s="14" t="s">
        <v>23</v>
      </c>
      <c r="H231" s="16">
        <v>29</v>
      </c>
      <c r="I231" s="16">
        <v>609</v>
      </c>
      <c r="J231" s="16">
        <v>268</v>
      </c>
      <c r="K231" s="17">
        <v>89</v>
      </c>
      <c r="L231" s="17">
        <v>61</v>
      </c>
      <c r="M231" s="17">
        <v>83</v>
      </c>
      <c r="N231" s="17">
        <v>99</v>
      </c>
      <c r="O231" s="17">
        <v>332</v>
      </c>
      <c r="P231" s="11" t="s">
        <v>65</v>
      </c>
    </row>
    <row r="232" spans="1:16" ht="15" customHeight="1" thickBot="1">
      <c r="A232" s="13">
        <v>40569</v>
      </c>
      <c r="B232" s="14" t="s">
        <v>20</v>
      </c>
      <c r="C232" s="14" t="s">
        <v>26</v>
      </c>
      <c r="D232" s="16">
        <v>924</v>
      </c>
      <c r="E232" s="14" t="s">
        <v>83</v>
      </c>
      <c r="F232" s="14" t="s">
        <v>13</v>
      </c>
      <c r="G232" s="14" t="s">
        <v>25</v>
      </c>
      <c r="H232" s="16">
        <v>44</v>
      </c>
      <c r="I232" s="16">
        <v>924</v>
      </c>
      <c r="J232" s="16">
        <v>407</v>
      </c>
      <c r="K232" s="17">
        <v>85</v>
      </c>
      <c r="L232" s="17">
        <v>82</v>
      </c>
      <c r="M232" s="17">
        <v>74</v>
      </c>
      <c r="N232" s="17">
        <v>63</v>
      </c>
      <c r="O232" s="17">
        <v>304</v>
      </c>
      <c r="P232" s="11" t="s">
        <v>65</v>
      </c>
    </row>
    <row r="233" spans="1:16" ht="15" customHeight="1" thickBot="1">
      <c r="A233" s="13">
        <v>40571</v>
      </c>
      <c r="B233" s="14" t="s">
        <v>20</v>
      </c>
      <c r="C233" s="14" t="s">
        <v>19</v>
      </c>
      <c r="D233" s="15">
        <v>1302</v>
      </c>
      <c r="E233" s="14" t="s">
        <v>63</v>
      </c>
      <c r="F233" s="14" t="s">
        <v>17</v>
      </c>
      <c r="G233" s="14" t="s">
        <v>30</v>
      </c>
      <c r="H233" s="16">
        <v>62</v>
      </c>
      <c r="I233" s="15">
        <v>1302</v>
      </c>
      <c r="J233" s="16">
        <v>574</v>
      </c>
      <c r="K233" s="17">
        <v>71</v>
      </c>
      <c r="L233" s="17">
        <v>75</v>
      </c>
      <c r="M233" s="17">
        <v>87</v>
      </c>
      <c r="N233" s="17">
        <v>69</v>
      </c>
      <c r="O233" s="17">
        <v>302</v>
      </c>
      <c r="P233" s="11" t="s">
        <v>65</v>
      </c>
    </row>
    <row r="234" spans="1:16" ht="15" customHeight="1" thickBot="1">
      <c r="A234" s="13">
        <v>40564</v>
      </c>
      <c r="B234" s="14" t="s">
        <v>20</v>
      </c>
      <c r="C234" s="14" t="s">
        <v>26</v>
      </c>
      <c r="D234" s="16">
        <v>273</v>
      </c>
      <c r="E234" s="14" t="s">
        <v>83</v>
      </c>
      <c r="F234" s="14" t="s">
        <v>10</v>
      </c>
      <c r="G234" s="14" t="s">
        <v>32</v>
      </c>
      <c r="H234" s="16">
        <v>13</v>
      </c>
      <c r="I234" s="16">
        <v>273</v>
      </c>
      <c r="J234" s="16">
        <v>120</v>
      </c>
      <c r="K234" s="17">
        <v>93</v>
      </c>
      <c r="L234" s="17">
        <v>64</v>
      </c>
      <c r="M234" s="17">
        <v>94</v>
      </c>
      <c r="N234" s="17">
        <v>86</v>
      </c>
      <c r="O234" s="17">
        <v>337</v>
      </c>
      <c r="P234" s="11" t="s">
        <v>65</v>
      </c>
    </row>
    <row r="235" spans="1:16" ht="15" customHeight="1" thickBot="1">
      <c r="A235" s="13">
        <v>40555</v>
      </c>
      <c r="B235" s="14" t="s">
        <v>20</v>
      </c>
      <c r="C235" s="14" t="s">
        <v>22</v>
      </c>
      <c r="D235" s="16">
        <v>399</v>
      </c>
      <c r="E235" s="14" t="s">
        <v>83</v>
      </c>
      <c r="F235" s="14" t="s">
        <v>21</v>
      </c>
      <c r="G235" s="14" t="s">
        <v>35</v>
      </c>
      <c r="H235" s="16">
        <v>19</v>
      </c>
      <c r="I235" s="16">
        <v>399</v>
      </c>
      <c r="J235" s="16">
        <v>176</v>
      </c>
      <c r="K235" s="17">
        <v>65</v>
      </c>
      <c r="L235" s="17">
        <v>71</v>
      </c>
      <c r="M235" s="17">
        <v>65</v>
      </c>
      <c r="N235" s="17">
        <v>80</v>
      </c>
      <c r="O235" s="17">
        <v>281</v>
      </c>
      <c r="P235" s="11" t="s">
        <v>65</v>
      </c>
    </row>
    <row r="236" spans="1:16" ht="15" customHeight="1" thickBot="1">
      <c r="A236" s="13">
        <v>40553</v>
      </c>
      <c r="B236" s="14" t="s">
        <v>20</v>
      </c>
      <c r="C236" s="14" t="s">
        <v>26</v>
      </c>
      <c r="D236" s="16">
        <v>987</v>
      </c>
      <c r="E236" s="14" t="s">
        <v>83</v>
      </c>
      <c r="F236" s="14" t="s">
        <v>13</v>
      </c>
      <c r="G236" s="14" t="s">
        <v>40</v>
      </c>
      <c r="H236" s="16">
        <v>47</v>
      </c>
      <c r="I236" s="16">
        <v>987</v>
      </c>
      <c r="J236" s="16">
        <v>435</v>
      </c>
      <c r="K236" s="17">
        <v>94</v>
      </c>
      <c r="L236" s="17">
        <v>95</v>
      </c>
      <c r="M236" s="17">
        <v>95</v>
      </c>
      <c r="N236" s="17">
        <v>86</v>
      </c>
      <c r="O236" s="17">
        <v>370</v>
      </c>
      <c r="P236" s="11" t="s">
        <v>71</v>
      </c>
    </row>
    <row r="237" spans="1:16" ht="15" customHeight="1" thickBot="1">
      <c r="A237" s="13">
        <v>40598</v>
      </c>
      <c r="B237" s="14" t="s">
        <v>20</v>
      </c>
      <c r="C237" s="14" t="s">
        <v>26</v>
      </c>
      <c r="D237" s="16">
        <v>987</v>
      </c>
      <c r="E237" s="14" t="s">
        <v>83</v>
      </c>
      <c r="F237" s="14" t="s">
        <v>13</v>
      </c>
      <c r="G237" s="14" t="s">
        <v>40</v>
      </c>
      <c r="H237" s="16">
        <v>47</v>
      </c>
      <c r="I237" s="16">
        <v>987</v>
      </c>
      <c r="J237" s="16">
        <v>435</v>
      </c>
      <c r="K237" s="17">
        <v>73</v>
      </c>
      <c r="L237" s="17">
        <v>78</v>
      </c>
      <c r="M237" s="17">
        <v>75</v>
      </c>
      <c r="N237" s="17">
        <v>93</v>
      </c>
      <c r="O237" s="17">
        <v>319</v>
      </c>
      <c r="P237" s="11" t="s">
        <v>65</v>
      </c>
    </row>
    <row r="238" spans="1:16" ht="15" customHeight="1" thickBot="1">
      <c r="A238" s="13">
        <v>40553</v>
      </c>
      <c r="B238" s="14" t="s">
        <v>20</v>
      </c>
      <c r="C238" s="14" t="s">
        <v>9</v>
      </c>
      <c r="D238" s="16">
        <v>357</v>
      </c>
      <c r="E238" s="14" t="s">
        <v>63</v>
      </c>
      <c r="F238" s="14" t="s">
        <v>24</v>
      </c>
      <c r="G238" s="14" t="s">
        <v>40</v>
      </c>
      <c r="H238" s="16">
        <v>17</v>
      </c>
      <c r="I238" s="16">
        <v>357</v>
      </c>
      <c r="J238" s="16">
        <v>157</v>
      </c>
      <c r="K238" s="17">
        <v>74</v>
      </c>
      <c r="L238" s="17">
        <v>79</v>
      </c>
      <c r="M238" s="17">
        <v>90</v>
      </c>
      <c r="N238" s="17">
        <v>71</v>
      </c>
      <c r="O238" s="17">
        <v>314</v>
      </c>
      <c r="P238" s="11" t="s">
        <v>65</v>
      </c>
    </row>
    <row r="239" spans="1:16" ht="15" customHeight="1" thickBot="1">
      <c r="A239" s="13">
        <v>40561</v>
      </c>
      <c r="B239" s="14" t="s">
        <v>20</v>
      </c>
      <c r="C239" s="14" t="s">
        <v>9</v>
      </c>
      <c r="D239" s="16">
        <v>252</v>
      </c>
      <c r="E239" s="14" t="s">
        <v>63</v>
      </c>
      <c r="F239" s="14" t="s">
        <v>21</v>
      </c>
      <c r="G239" s="14" t="s">
        <v>41</v>
      </c>
      <c r="H239" s="16">
        <v>12</v>
      </c>
      <c r="I239" s="16">
        <v>252</v>
      </c>
      <c r="J239" s="16">
        <v>111</v>
      </c>
      <c r="K239" s="17">
        <v>85</v>
      </c>
      <c r="L239" s="17">
        <v>86</v>
      </c>
      <c r="M239" s="17">
        <v>86</v>
      </c>
      <c r="N239" s="17">
        <v>78</v>
      </c>
      <c r="O239" s="17">
        <v>335</v>
      </c>
      <c r="P239" s="11" t="s">
        <v>71</v>
      </c>
    </row>
    <row r="240" spans="1:16" ht="15" customHeight="1" thickBot="1">
      <c r="A240" s="13">
        <v>40550</v>
      </c>
      <c r="B240" s="14" t="s">
        <v>20</v>
      </c>
      <c r="C240" s="14" t="s">
        <v>22</v>
      </c>
      <c r="D240" s="16">
        <v>462</v>
      </c>
      <c r="E240" s="14" t="s">
        <v>83</v>
      </c>
      <c r="F240" s="14" t="s">
        <v>13</v>
      </c>
      <c r="G240" s="14" t="s">
        <v>42</v>
      </c>
      <c r="H240" s="16">
        <v>22</v>
      </c>
      <c r="I240" s="16">
        <v>462</v>
      </c>
      <c r="J240" s="16">
        <v>204</v>
      </c>
      <c r="K240" s="17">
        <v>83</v>
      </c>
      <c r="L240" s="17">
        <v>61</v>
      </c>
      <c r="M240" s="17">
        <v>88</v>
      </c>
      <c r="N240" s="17">
        <v>60</v>
      </c>
      <c r="O240" s="17">
        <v>292</v>
      </c>
      <c r="P240" s="11" t="s">
        <v>71</v>
      </c>
    </row>
    <row r="241" spans="1:16" ht="15" customHeight="1" thickBot="1">
      <c r="A241" s="13">
        <v>40550</v>
      </c>
      <c r="B241" s="14" t="s">
        <v>20</v>
      </c>
      <c r="C241" s="14" t="s">
        <v>19</v>
      </c>
      <c r="D241" s="15">
        <v>1281</v>
      </c>
      <c r="E241" s="14" t="s">
        <v>63</v>
      </c>
      <c r="F241" s="14" t="s">
        <v>10</v>
      </c>
      <c r="G241" s="14" t="s">
        <v>47</v>
      </c>
      <c r="H241" s="16">
        <v>61</v>
      </c>
      <c r="I241" s="15">
        <v>1281</v>
      </c>
      <c r="J241" s="16">
        <v>564</v>
      </c>
      <c r="K241" s="17">
        <v>80</v>
      </c>
      <c r="L241" s="17">
        <v>64</v>
      </c>
      <c r="M241" s="17">
        <v>68</v>
      </c>
      <c r="N241" s="17">
        <v>69</v>
      </c>
      <c r="O241" s="17">
        <v>281</v>
      </c>
      <c r="P241" s="11" t="s">
        <v>71</v>
      </c>
    </row>
    <row r="242" spans="1:16" ht="15" customHeight="1" thickBot="1">
      <c r="A242" s="13">
        <v>40580</v>
      </c>
      <c r="B242" s="14" t="s">
        <v>20</v>
      </c>
      <c r="C242" s="14" t="s">
        <v>19</v>
      </c>
      <c r="D242" s="15">
        <v>1281</v>
      </c>
      <c r="E242" s="14" t="s">
        <v>63</v>
      </c>
      <c r="F242" s="14" t="s">
        <v>10</v>
      </c>
      <c r="G242" s="14" t="s">
        <v>47</v>
      </c>
      <c r="H242" s="16">
        <v>61</v>
      </c>
      <c r="I242" s="15">
        <v>1281</v>
      </c>
      <c r="J242" s="16">
        <v>564</v>
      </c>
      <c r="K242" s="17">
        <v>69</v>
      </c>
      <c r="L242" s="17">
        <v>86</v>
      </c>
      <c r="M242" s="17">
        <v>99</v>
      </c>
      <c r="N242" s="17">
        <v>65</v>
      </c>
      <c r="O242" s="17">
        <v>319</v>
      </c>
      <c r="P242" s="11" t="s">
        <v>71</v>
      </c>
    </row>
    <row r="243" spans="1:16" ht="15" customHeight="1" thickBot="1">
      <c r="A243" s="13">
        <v>40553</v>
      </c>
      <c r="B243" s="14" t="s">
        <v>20</v>
      </c>
      <c r="C243" s="14" t="s">
        <v>9</v>
      </c>
      <c r="D243" s="16">
        <v>567</v>
      </c>
      <c r="E243" s="14" t="s">
        <v>63</v>
      </c>
      <c r="F243" s="14" t="s">
        <v>21</v>
      </c>
      <c r="G243" s="14" t="s">
        <v>48</v>
      </c>
      <c r="H243" s="16">
        <v>27</v>
      </c>
      <c r="I243" s="16">
        <v>567</v>
      </c>
      <c r="J243" s="16">
        <v>250</v>
      </c>
      <c r="K243" s="17">
        <v>60</v>
      </c>
      <c r="L243" s="17">
        <v>87</v>
      </c>
      <c r="M243" s="17">
        <v>65</v>
      </c>
      <c r="N243" s="17">
        <v>97</v>
      </c>
      <c r="O243" s="17">
        <v>309</v>
      </c>
      <c r="P243" s="11" t="s">
        <v>65</v>
      </c>
    </row>
    <row r="244" spans="1:16" ht="15" customHeight="1" thickBot="1">
      <c r="A244" s="13">
        <v>40548</v>
      </c>
      <c r="B244" s="14" t="s">
        <v>20</v>
      </c>
      <c r="C244" s="14" t="s">
        <v>26</v>
      </c>
      <c r="D244" s="15">
        <v>1197</v>
      </c>
      <c r="E244" s="14" t="s">
        <v>83</v>
      </c>
      <c r="F244" s="14" t="s">
        <v>10</v>
      </c>
      <c r="G244" s="14" t="s">
        <v>49</v>
      </c>
      <c r="H244" s="16">
        <v>57</v>
      </c>
      <c r="I244" s="15">
        <v>1197</v>
      </c>
      <c r="J244" s="16">
        <v>527</v>
      </c>
      <c r="K244" s="17">
        <v>91</v>
      </c>
      <c r="L244" s="17">
        <v>96</v>
      </c>
      <c r="M244" s="17">
        <v>77</v>
      </c>
      <c r="N244" s="17">
        <v>74</v>
      </c>
      <c r="O244" s="17">
        <v>338</v>
      </c>
      <c r="P244" s="11" t="s">
        <v>71</v>
      </c>
    </row>
    <row r="245" spans="1:16" ht="15" customHeight="1" thickBot="1">
      <c r="A245" s="13">
        <v>40550</v>
      </c>
      <c r="B245" s="14" t="s">
        <v>20</v>
      </c>
      <c r="C245" s="14" t="s">
        <v>19</v>
      </c>
      <c r="D245" s="15">
        <v>1113</v>
      </c>
      <c r="E245" s="14" t="s">
        <v>63</v>
      </c>
      <c r="F245" s="14" t="s">
        <v>10</v>
      </c>
      <c r="G245" s="14" t="s">
        <v>51</v>
      </c>
      <c r="H245" s="16">
        <v>53</v>
      </c>
      <c r="I245" s="15">
        <v>1113</v>
      </c>
      <c r="J245" s="16">
        <v>490</v>
      </c>
      <c r="K245" s="17">
        <v>90</v>
      </c>
      <c r="L245" s="17">
        <v>62</v>
      </c>
      <c r="M245" s="17">
        <v>73</v>
      </c>
      <c r="N245" s="17">
        <v>93</v>
      </c>
      <c r="O245" s="17">
        <v>318</v>
      </c>
      <c r="P245" s="11" t="s">
        <v>71</v>
      </c>
    </row>
    <row r="246" spans="1:16" ht="15" customHeight="1" thickBot="1">
      <c r="A246" s="13">
        <v>40571</v>
      </c>
      <c r="B246" s="14" t="s">
        <v>20</v>
      </c>
      <c r="C246" s="14" t="s">
        <v>9</v>
      </c>
      <c r="D246" s="16">
        <v>756</v>
      </c>
      <c r="E246" s="14" t="s">
        <v>63</v>
      </c>
      <c r="F246" s="14" t="s">
        <v>24</v>
      </c>
      <c r="G246" s="14" t="s">
        <v>53</v>
      </c>
      <c r="H246" s="16">
        <v>36</v>
      </c>
      <c r="I246" s="16">
        <v>756</v>
      </c>
      <c r="J246" s="16">
        <v>333</v>
      </c>
      <c r="K246" s="17">
        <v>100</v>
      </c>
      <c r="L246" s="17">
        <v>100</v>
      </c>
      <c r="M246" s="17">
        <v>99</v>
      </c>
      <c r="N246" s="17">
        <v>86</v>
      </c>
      <c r="O246" s="17">
        <v>385</v>
      </c>
      <c r="P246" s="11" t="s">
        <v>65</v>
      </c>
    </row>
    <row r="247" spans="1:16" ht="15" customHeight="1" thickBot="1">
      <c r="A247" s="13">
        <v>40591</v>
      </c>
      <c r="B247" s="14" t="s">
        <v>14</v>
      </c>
      <c r="C247" s="14" t="s">
        <v>19</v>
      </c>
      <c r="D247" s="16">
        <v>152</v>
      </c>
      <c r="E247" s="14" t="s">
        <v>63</v>
      </c>
      <c r="F247" s="14" t="s">
        <v>13</v>
      </c>
      <c r="G247" s="14" t="s">
        <v>18</v>
      </c>
      <c r="H247" s="16">
        <v>8</v>
      </c>
      <c r="I247" s="16">
        <v>152</v>
      </c>
      <c r="J247" s="16">
        <v>64</v>
      </c>
      <c r="K247" s="17">
        <v>76</v>
      </c>
      <c r="L247" s="17">
        <v>70</v>
      </c>
      <c r="M247" s="17">
        <v>89</v>
      </c>
      <c r="N247" s="17">
        <v>60</v>
      </c>
      <c r="O247" s="17">
        <v>295</v>
      </c>
      <c r="P247" s="11" t="s">
        <v>71</v>
      </c>
    </row>
    <row r="248" spans="1:16" ht="15" customHeight="1" thickBot="1">
      <c r="A248" s="13">
        <v>40573</v>
      </c>
      <c r="B248" s="14" t="s">
        <v>14</v>
      </c>
      <c r="C248" s="14" t="s">
        <v>19</v>
      </c>
      <c r="D248" s="16">
        <v>931</v>
      </c>
      <c r="E248" s="14" t="s">
        <v>63</v>
      </c>
      <c r="F248" s="14" t="s">
        <v>21</v>
      </c>
      <c r="G248" s="14" t="s">
        <v>27</v>
      </c>
      <c r="H248" s="16">
        <v>49</v>
      </c>
      <c r="I248" s="16">
        <v>931</v>
      </c>
      <c r="J248" s="16">
        <v>392</v>
      </c>
      <c r="K248" s="17">
        <v>87</v>
      </c>
      <c r="L248" s="17">
        <v>85</v>
      </c>
      <c r="M248" s="17">
        <v>93</v>
      </c>
      <c r="N248" s="17">
        <v>73</v>
      </c>
      <c r="O248" s="17">
        <v>338</v>
      </c>
      <c r="P248" s="11" t="s">
        <v>71</v>
      </c>
    </row>
    <row r="249" spans="1:16" ht="15" customHeight="1" thickBot="1">
      <c r="A249" s="13">
        <v>40564</v>
      </c>
      <c r="B249" s="14" t="s">
        <v>14</v>
      </c>
      <c r="C249" s="14" t="s">
        <v>22</v>
      </c>
      <c r="D249" s="16">
        <v>437</v>
      </c>
      <c r="E249" s="14" t="s">
        <v>83</v>
      </c>
      <c r="F249" s="14" t="s">
        <v>10</v>
      </c>
      <c r="G249" s="14" t="s">
        <v>27</v>
      </c>
      <c r="H249" s="16">
        <v>23</v>
      </c>
      <c r="I249" s="16">
        <v>437</v>
      </c>
      <c r="J249" s="16">
        <v>184</v>
      </c>
      <c r="K249" s="17">
        <v>85</v>
      </c>
      <c r="L249" s="17">
        <v>82</v>
      </c>
      <c r="M249" s="17">
        <v>64</v>
      </c>
      <c r="N249" s="17">
        <v>88</v>
      </c>
      <c r="O249" s="17">
        <v>319</v>
      </c>
      <c r="P249" s="11" t="s">
        <v>71</v>
      </c>
    </row>
    <row r="250" spans="1:16" ht="15" customHeight="1" thickBot="1">
      <c r="A250" s="13">
        <v>40548</v>
      </c>
      <c r="B250" s="14" t="s">
        <v>14</v>
      </c>
      <c r="C250" s="14" t="s">
        <v>19</v>
      </c>
      <c r="D250" s="16">
        <v>228</v>
      </c>
      <c r="E250" s="14" t="s">
        <v>63</v>
      </c>
      <c r="F250" s="14" t="s">
        <v>15</v>
      </c>
      <c r="G250" s="14" t="s">
        <v>29</v>
      </c>
      <c r="H250" s="16">
        <v>12</v>
      </c>
      <c r="I250" s="16">
        <v>228</v>
      </c>
      <c r="J250" s="16">
        <v>96</v>
      </c>
      <c r="K250" s="17">
        <v>79</v>
      </c>
      <c r="L250" s="17">
        <v>75</v>
      </c>
      <c r="M250" s="17">
        <v>70</v>
      </c>
      <c r="N250" s="17">
        <v>65</v>
      </c>
      <c r="O250" s="17">
        <v>289</v>
      </c>
      <c r="P250" s="11" t="s">
        <v>71</v>
      </c>
    </row>
    <row r="251" spans="1:16" ht="15" customHeight="1" thickBot="1">
      <c r="A251" s="13">
        <v>40593</v>
      </c>
      <c r="B251" s="14" t="s">
        <v>14</v>
      </c>
      <c r="C251" s="14" t="s">
        <v>19</v>
      </c>
      <c r="D251" s="16">
        <v>228</v>
      </c>
      <c r="E251" s="14" t="s">
        <v>63</v>
      </c>
      <c r="F251" s="14" t="s">
        <v>15</v>
      </c>
      <c r="G251" s="14" t="s">
        <v>29</v>
      </c>
      <c r="H251" s="16">
        <v>12</v>
      </c>
      <c r="I251" s="16">
        <v>228</v>
      </c>
      <c r="J251" s="16">
        <v>96</v>
      </c>
      <c r="K251" s="17">
        <v>60</v>
      </c>
      <c r="L251" s="17">
        <v>63</v>
      </c>
      <c r="M251" s="17">
        <v>68</v>
      </c>
      <c r="N251" s="17">
        <v>94</v>
      </c>
      <c r="O251" s="17">
        <v>285</v>
      </c>
      <c r="P251" s="11" t="s">
        <v>71</v>
      </c>
    </row>
    <row r="252" spans="1:16" ht="15" customHeight="1" thickBot="1">
      <c r="A252" s="13">
        <v>40546</v>
      </c>
      <c r="B252" s="14" t="s">
        <v>14</v>
      </c>
      <c r="C252" s="14" t="s">
        <v>9</v>
      </c>
      <c r="D252" s="16">
        <v>722</v>
      </c>
      <c r="E252" s="14" t="s">
        <v>63</v>
      </c>
      <c r="F252" s="14" t="s">
        <v>10</v>
      </c>
      <c r="G252" s="14" t="s">
        <v>30</v>
      </c>
      <c r="H252" s="16">
        <v>38</v>
      </c>
      <c r="I252" s="16">
        <v>722</v>
      </c>
      <c r="J252" s="16">
        <v>304</v>
      </c>
      <c r="K252" s="17">
        <v>94</v>
      </c>
      <c r="L252" s="17">
        <v>89</v>
      </c>
      <c r="M252" s="17">
        <v>70</v>
      </c>
      <c r="N252" s="17">
        <v>78</v>
      </c>
      <c r="O252" s="17">
        <v>331</v>
      </c>
      <c r="P252" s="11" t="s">
        <v>65</v>
      </c>
    </row>
    <row r="253" spans="1:16" ht="15" customHeight="1" thickBot="1">
      <c r="A253" s="13">
        <v>40571</v>
      </c>
      <c r="B253" s="14" t="s">
        <v>14</v>
      </c>
      <c r="C253" s="14" t="s">
        <v>26</v>
      </c>
      <c r="D253" s="16">
        <v>969</v>
      </c>
      <c r="E253" s="14" t="s">
        <v>83</v>
      </c>
      <c r="F253" s="14" t="s">
        <v>24</v>
      </c>
      <c r="G253" s="14" t="s">
        <v>31</v>
      </c>
      <c r="H253" s="16">
        <v>51</v>
      </c>
      <c r="I253" s="16">
        <v>969</v>
      </c>
      <c r="J253" s="16">
        <v>408</v>
      </c>
      <c r="K253" s="17">
        <v>68</v>
      </c>
      <c r="L253" s="17">
        <v>95</v>
      </c>
      <c r="M253" s="17">
        <v>68</v>
      </c>
      <c r="N253" s="17">
        <v>89</v>
      </c>
      <c r="O253" s="17">
        <v>320</v>
      </c>
      <c r="P253" s="11" t="s">
        <v>71</v>
      </c>
    </row>
    <row r="254" spans="1:16" ht="15" customHeight="1" thickBot="1">
      <c r="A254" s="13">
        <v>40601</v>
      </c>
      <c r="B254" s="14" t="s">
        <v>14</v>
      </c>
      <c r="C254" s="14" t="s">
        <v>26</v>
      </c>
      <c r="D254" s="16">
        <v>969</v>
      </c>
      <c r="E254" s="14" t="s">
        <v>83</v>
      </c>
      <c r="F254" s="14" t="s">
        <v>24</v>
      </c>
      <c r="G254" s="14" t="s">
        <v>31</v>
      </c>
      <c r="H254" s="16">
        <v>51</v>
      </c>
      <c r="I254" s="16">
        <v>969</v>
      </c>
      <c r="J254" s="16">
        <v>408</v>
      </c>
      <c r="K254" s="17">
        <v>96</v>
      </c>
      <c r="L254" s="17">
        <v>78</v>
      </c>
      <c r="M254" s="17">
        <v>99</v>
      </c>
      <c r="N254" s="17">
        <v>98</v>
      </c>
      <c r="O254" s="17">
        <v>371</v>
      </c>
      <c r="P254" s="11" t="s">
        <v>71</v>
      </c>
    </row>
    <row r="255" spans="1:16" ht="15" customHeight="1" thickBot="1">
      <c r="A255" s="13">
        <v>40560</v>
      </c>
      <c r="B255" s="14" t="s">
        <v>14</v>
      </c>
      <c r="C255" s="14" t="s">
        <v>22</v>
      </c>
      <c r="D255" s="15">
        <v>1121</v>
      </c>
      <c r="E255" s="14" t="s">
        <v>83</v>
      </c>
      <c r="F255" s="14" t="s">
        <v>15</v>
      </c>
      <c r="G255" s="14" t="s">
        <v>32</v>
      </c>
      <c r="H255" s="16">
        <v>59</v>
      </c>
      <c r="I255" s="15">
        <v>1121</v>
      </c>
      <c r="J255" s="16">
        <v>472</v>
      </c>
      <c r="K255" s="17">
        <v>62</v>
      </c>
      <c r="L255" s="17">
        <v>65</v>
      </c>
      <c r="M255" s="17">
        <v>99</v>
      </c>
      <c r="N255" s="17">
        <v>65</v>
      </c>
      <c r="O255" s="17">
        <v>291</v>
      </c>
      <c r="P255" s="11" t="s">
        <v>65</v>
      </c>
    </row>
    <row r="256" spans="1:16" ht="15" customHeight="1" thickBot="1">
      <c r="A256" s="13">
        <v>40568</v>
      </c>
      <c r="B256" s="14" t="s">
        <v>14</v>
      </c>
      <c r="C256" s="14" t="s">
        <v>22</v>
      </c>
      <c r="D256" s="16">
        <v>399</v>
      </c>
      <c r="E256" s="14" t="s">
        <v>83</v>
      </c>
      <c r="F256" s="14" t="s">
        <v>15</v>
      </c>
      <c r="G256" s="14" t="s">
        <v>36</v>
      </c>
      <c r="H256" s="16">
        <v>21</v>
      </c>
      <c r="I256" s="16">
        <v>399</v>
      </c>
      <c r="J256" s="16">
        <v>168</v>
      </c>
      <c r="K256" s="17">
        <v>69</v>
      </c>
      <c r="L256" s="17">
        <v>64</v>
      </c>
      <c r="M256" s="17">
        <v>87</v>
      </c>
      <c r="N256" s="17">
        <v>88</v>
      </c>
      <c r="O256" s="17">
        <v>308</v>
      </c>
      <c r="P256" s="11" t="s">
        <v>65</v>
      </c>
    </row>
    <row r="257" spans="1:16" ht="15" customHeight="1" thickBot="1">
      <c r="A257" s="13">
        <v>40561</v>
      </c>
      <c r="B257" s="14" t="s">
        <v>14</v>
      </c>
      <c r="C257" s="14" t="s">
        <v>22</v>
      </c>
      <c r="D257" s="15">
        <v>1178</v>
      </c>
      <c r="E257" s="14" t="s">
        <v>83</v>
      </c>
      <c r="F257" s="14" t="s">
        <v>17</v>
      </c>
      <c r="G257" s="14" t="s">
        <v>42</v>
      </c>
      <c r="H257" s="16">
        <v>62</v>
      </c>
      <c r="I257" s="15">
        <v>1178</v>
      </c>
      <c r="J257" s="16">
        <v>496</v>
      </c>
      <c r="K257" s="17">
        <v>75</v>
      </c>
      <c r="L257" s="17">
        <v>99</v>
      </c>
      <c r="M257" s="17">
        <v>95</v>
      </c>
      <c r="N257" s="17">
        <v>96</v>
      </c>
      <c r="O257" s="17">
        <v>365</v>
      </c>
      <c r="P257" s="11" t="s">
        <v>65</v>
      </c>
    </row>
    <row r="258" spans="1:16" ht="15" customHeight="1" thickBot="1">
      <c r="A258" s="13">
        <v>40606</v>
      </c>
      <c r="B258" s="14" t="s">
        <v>14</v>
      </c>
      <c r="C258" s="14" t="s">
        <v>22</v>
      </c>
      <c r="D258" s="15">
        <v>1178</v>
      </c>
      <c r="E258" s="14" t="s">
        <v>83</v>
      </c>
      <c r="F258" s="14" t="s">
        <v>17</v>
      </c>
      <c r="G258" s="14" t="s">
        <v>42</v>
      </c>
      <c r="H258" s="16">
        <v>62</v>
      </c>
      <c r="I258" s="15">
        <v>1178</v>
      </c>
      <c r="J258" s="16">
        <v>496</v>
      </c>
      <c r="K258" s="17">
        <v>87</v>
      </c>
      <c r="L258" s="17">
        <v>81</v>
      </c>
      <c r="M258" s="17">
        <v>77</v>
      </c>
      <c r="N258" s="17">
        <v>86</v>
      </c>
      <c r="O258" s="17">
        <v>331</v>
      </c>
      <c r="P258" s="11" t="s">
        <v>65</v>
      </c>
    </row>
    <row r="259" spans="1:16" ht="15" customHeight="1" thickBot="1">
      <c r="A259" s="13">
        <v>40546</v>
      </c>
      <c r="B259" s="14" t="s">
        <v>14</v>
      </c>
      <c r="C259" s="14" t="s">
        <v>26</v>
      </c>
      <c r="D259" s="16">
        <v>114</v>
      </c>
      <c r="E259" s="14" t="s">
        <v>83</v>
      </c>
      <c r="F259" s="14" t="s">
        <v>13</v>
      </c>
      <c r="G259" s="14" t="s">
        <v>42</v>
      </c>
      <c r="H259" s="16">
        <v>6</v>
      </c>
      <c r="I259" s="16">
        <v>114</v>
      </c>
      <c r="J259" s="16">
        <v>48</v>
      </c>
      <c r="K259" s="17">
        <v>100</v>
      </c>
      <c r="L259" s="17">
        <v>78</v>
      </c>
      <c r="M259" s="17">
        <v>82</v>
      </c>
      <c r="N259" s="17">
        <v>78</v>
      </c>
      <c r="O259" s="17">
        <v>338</v>
      </c>
      <c r="P259" s="11" t="s">
        <v>71</v>
      </c>
    </row>
    <row r="260" spans="1:16" ht="15" customHeight="1" thickBot="1">
      <c r="A260" s="13">
        <v>40576</v>
      </c>
      <c r="B260" s="14" t="s">
        <v>14</v>
      </c>
      <c r="C260" s="14" t="s">
        <v>26</v>
      </c>
      <c r="D260" s="16">
        <v>114</v>
      </c>
      <c r="E260" s="14" t="s">
        <v>83</v>
      </c>
      <c r="F260" s="14" t="s">
        <v>13</v>
      </c>
      <c r="G260" s="14" t="s">
        <v>42</v>
      </c>
      <c r="H260" s="16">
        <v>6</v>
      </c>
      <c r="I260" s="16">
        <v>114</v>
      </c>
      <c r="J260" s="16">
        <v>48</v>
      </c>
      <c r="K260" s="17">
        <v>92</v>
      </c>
      <c r="L260" s="17">
        <v>84</v>
      </c>
      <c r="M260" s="17">
        <v>89</v>
      </c>
      <c r="N260" s="17">
        <v>96</v>
      </c>
      <c r="O260" s="17">
        <v>361</v>
      </c>
      <c r="P260" s="11" t="s">
        <v>71</v>
      </c>
    </row>
    <row r="261" spans="1:16" ht="15" customHeight="1" thickBot="1">
      <c r="A261" s="13">
        <v>40552</v>
      </c>
      <c r="B261" s="14" t="s">
        <v>14</v>
      </c>
      <c r="C261" s="14" t="s">
        <v>9</v>
      </c>
      <c r="D261" s="16">
        <v>798</v>
      </c>
      <c r="E261" s="14" t="s">
        <v>63</v>
      </c>
      <c r="F261" s="14" t="s">
        <v>24</v>
      </c>
      <c r="G261" s="14" t="s">
        <v>42</v>
      </c>
      <c r="H261" s="16">
        <v>42</v>
      </c>
      <c r="I261" s="16">
        <v>798</v>
      </c>
      <c r="J261" s="16">
        <v>336</v>
      </c>
      <c r="K261" s="17">
        <v>88</v>
      </c>
      <c r="L261" s="17">
        <v>79</v>
      </c>
      <c r="M261" s="17">
        <v>72</v>
      </c>
      <c r="N261" s="17">
        <v>62</v>
      </c>
      <c r="O261" s="17">
        <v>301</v>
      </c>
      <c r="P261" s="11" t="s">
        <v>65</v>
      </c>
    </row>
    <row r="262" spans="1:16" ht="15" customHeight="1" thickBot="1">
      <c r="A262" s="13">
        <v>40549</v>
      </c>
      <c r="B262" s="14" t="s">
        <v>14</v>
      </c>
      <c r="C262" s="14" t="s">
        <v>9</v>
      </c>
      <c r="D262" s="15">
        <v>1026</v>
      </c>
      <c r="E262" s="14" t="s">
        <v>63</v>
      </c>
      <c r="F262" s="14" t="s">
        <v>15</v>
      </c>
      <c r="G262" s="14" t="s">
        <v>44</v>
      </c>
      <c r="H262" s="16">
        <v>54</v>
      </c>
      <c r="I262" s="15">
        <v>1026</v>
      </c>
      <c r="J262" s="16">
        <v>432</v>
      </c>
      <c r="K262" s="17">
        <v>97</v>
      </c>
      <c r="L262" s="17">
        <v>67</v>
      </c>
      <c r="M262" s="17">
        <v>77</v>
      </c>
      <c r="N262" s="17">
        <v>91</v>
      </c>
      <c r="O262" s="17">
        <v>332</v>
      </c>
      <c r="P262" s="11" t="s">
        <v>65</v>
      </c>
    </row>
    <row r="263" spans="1:16" ht="15" customHeight="1" thickBot="1">
      <c r="A263" s="13">
        <v>40556</v>
      </c>
      <c r="B263" s="14" t="s">
        <v>14</v>
      </c>
      <c r="C263" s="14" t="s">
        <v>22</v>
      </c>
      <c r="D263" s="16">
        <v>627</v>
      </c>
      <c r="E263" s="14" t="s">
        <v>83</v>
      </c>
      <c r="F263" s="14" t="s">
        <v>10</v>
      </c>
      <c r="G263" s="14" t="s">
        <v>44</v>
      </c>
      <c r="H263" s="16">
        <v>33</v>
      </c>
      <c r="I263" s="16">
        <v>627</v>
      </c>
      <c r="J263" s="16">
        <v>264</v>
      </c>
      <c r="K263" s="17">
        <v>91</v>
      </c>
      <c r="L263" s="17">
        <v>62</v>
      </c>
      <c r="M263" s="17">
        <v>90</v>
      </c>
      <c r="N263" s="17">
        <v>61</v>
      </c>
      <c r="O263" s="17">
        <v>304</v>
      </c>
      <c r="P263" s="11" t="s">
        <v>65</v>
      </c>
    </row>
    <row r="264" spans="1:16" ht="15" customHeight="1" thickBot="1">
      <c r="A264" s="13">
        <v>40564</v>
      </c>
      <c r="B264" s="14" t="s">
        <v>14</v>
      </c>
      <c r="C264" s="14" t="s">
        <v>22</v>
      </c>
      <c r="D264" s="15">
        <v>1216</v>
      </c>
      <c r="E264" s="14" t="s">
        <v>83</v>
      </c>
      <c r="F264" s="14" t="s">
        <v>24</v>
      </c>
      <c r="G264" s="14" t="s">
        <v>45</v>
      </c>
      <c r="H264" s="16">
        <v>64</v>
      </c>
      <c r="I264" s="15">
        <v>1216</v>
      </c>
      <c r="J264" s="16">
        <v>512</v>
      </c>
      <c r="K264" s="17">
        <v>76</v>
      </c>
      <c r="L264" s="17">
        <v>89</v>
      </c>
      <c r="M264" s="17">
        <v>71</v>
      </c>
      <c r="N264" s="17">
        <v>93</v>
      </c>
      <c r="O264" s="17">
        <v>329</v>
      </c>
      <c r="P264" s="11" t="s">
        <v>65</v>
      </c>
    </row>
    <row r="265" spans="1:16" ht="15" customHeight="1" thickBot="1">
      <c r="A265" s="13">
        <v>40549</v>
      </c>
      <c r="B265" s="14" t="s">
        <v>14</v>
      </c>
      <c r="C265" s="14" t="s">
        <v>26</v>
      </c>
      <c r="D265" s="16">
        <v>760</v>
      </c>
      <c r="E265" s="14" t="s">
        <v>83</v>
      </c>
      <c r="F265" s="14" t="s">
        <v>24</v>
      </c>
      <c r="G265" s="14" t="s">
        <v>45</v>
      </c>
      <c r="H265" s="16">
        <v>40</v>
      </c>
      <c r="I265" s="16">
        <v>760</v>
      </c>
      <c r="J265" s="16">
        <v>320</v>
      </c>
      <c r="K265" s="17">
        <v>90</v>
      </c>
      <c r="L265" s="17">
        <v>73</v>
      </c>
      <c r="M265" s="17">
        <v>85</v>
      </c>
      <c r="N265" s="17">
        <v>70</v>
      </c>
      <c r="O265" s="17">
        <v>318</v>
      </c>
      <c r="P265" s="11" t="s">
        <v>65</v>
      </c>
    </row>
    <row r="266" spans="1:16" ht="15" customHeight="1" thickBot="1">
      <c r="A266" s="13">
        <v>40561</v>
      </c>
      <c r="B266" s="14" t="s">
        <v>14</v>
      </c>
      <c r="C266" s="14" t="s">
        <v>9</v>
      </c>
      <c r="D266" s="16">
        <v>456</v>
      </c>
      <c r="E266" s="14" t="s">
        <v>63</v>
      </c>
      <c r="F266" s="14" t="s">
        <v>15</v>
      </c>
      <c r="G266" s="14" t="s">
        <v>68</v>
      </c>
      <c r="H266" s="16">
        <v>24</v>
      </c>
      <c r="I266" s="16">
        <v>456</v>
      </c>
      <c r="J266" s="16">
        <v>234</v>
      </c>
      <c r="K266" s="17">
        <v>95</v>
      </c>
      <c r="L266" s="17">
        <v>95</v>
      </c>
      <c r="M266" s="17">
        <v>100</v>
      </c>
      <c r="N266" s="17">
        <v>86</v>
      </c>
      <c r="O266" s="17">
        <v>376</v>
      </c>
      <c r="P266" s="11" t="s">
        <v>65</v>
      </c>
    </row>
    <row r="267" spans="1:16" ht="15" customHeight="1" thickBot="1">
      <c r="A267" s="13">
        <v>40606</v>
      </c>
      <c r="B267" s="14" t="s">
        <v>14</v>
      </c>
      <c r="C267" s="14" t="s">
        <v>9</v>
      </c>
      <c r="D267" s="16">
        <v>456</v>
      </c>
      <c r="E267" s="14" t="s">
        <v>63</v>
      </c>
      <c r="F267" s="14" t="s">
        <v>15</v>
      </c>
      <c r="G267" s="14" t="s">
        <v>70</v>
      </c>
      <c r="H267" s="16">
        <v>24</v>
      </c>
      <c r="I267" s="16">
        <v>456</v>
      </c>
      <c r="J267" s="16">
        <v>192</v>
      </c>
      <c r="K267" s="17">
        <v>81</v>
      </c>
      <c r="L267" s="17">
        <v>74</v>
      </c>
      <c r="M267" s="17">
        <v>89</v>
      </c>
      <c r="N267" s="17">
        <v>81</v>
      </c>
      <c r="O267" s="17">
        <v>325</v>
      </c>
      <c r="P267" s="11" t="s">
        <v>71</v>
      </c>
    </row>
    <row r="268" spans="1:16" ht="15" customHeight="1" thickBot="1">
      <c r="A268" s="13">
        <v>40566</v>
      </c>
      <c r="B268" s="14" t="s">
        <v>14</v>
      </c>
      <c r="C268" s="14" t="s">
        <v>26</v>
      </c>
      <c r="D268" s="16">
        <v>931</v>
      </c>
      <c r="E268" s="14" t="s">
        <v>83</v>
      </c>
      <c r="F268" s="14" t="s">
        <v>17</v>
      </c>
      <c r="G268" s="14" t="s">
        <v>47</v>
      </c>
      <c r="H268" s="16">
        <v>49</v>
      </c>
      <c r="I268" s="16">
        <v>931</v>
      </c>
      <c r="J268" s="16">
        <v>392</v>
      </c>
      <c r="K268" s="17">
        <v>98</v>
      </c>
      <c r="L268" s="17">
        <v>61</v>
      </c>
      <c r="M268" s="17">
        <v>81</v>
      </c>
      <c r="N268" s="17">
        <v>61</v>
      </c>
      <c r="O268" s="17">
        <v>301</v>
      </c>
      <c r="P268" s="11" t="s">
        <v>71</v>
      </c>
    </row>
    <row r="269" spans="1:16" ht="15" customHeight="1" thickBot="1">
      <c r="A269" s="13">
        <v>40553</v>
      </c>
      <c r="B269" s="14" t="s">
        <v>14</v>
      </c>
      <c r="C269" s="14" t="s">
        <v>26</v>
      </c>
      <c r="D269" s="16">
        <v>570</v>
      </c>
      <c r="E269" s="14" t="s">
        <v>83</v>
      </c>
      <c r="F269" s="14" t="s">
        <v>17</v>
      </c>
      <c r="G269" s="14" t="s">
        <v>48</v>
      </c>
      <c r="H269" s="16">
        <v>30</v>
      </c>
      <c r="I269" s="16">
        <v>570</v>
      </c>
      <c r="J269" s="16">
        <v>240</v>
      </c>
      <c r="K269" s="17">
        <v>76</v>
      </c>
      <c r="L269" s="17">
        <v>85</v>
      </c>
      <c r="M269" s="17">
        <v>69</v>
      </c>
      <c r="N269" s="17">
        <v>87</v>
      </c>
      <c r="O269" s="17">
        <v>317</v>
      </c>
      <c r="P269" s="11" t="s">
        <v>65</v>
      </c>
    </row>
    <row r="270" spans="1:16" ht="15" customHeight="1" thickBot="1">
      <c r="A270" s="13">
        <v>40573</v>
      </c>
      <c r="B270" s="14" t="s">
        <v>14</v>
      </c>
      <c r="C270" s="14" t="s">
        <v>26</v>
      </c>
      <c r="D270" s="16">
        <v>437</v>
      </c>
      <c r="E270" s="14" t="s">
        <v>83</v>
      </c>
      <c r="F270" s="14" t="s">
        <v>13</v>
      </c>
      <c r="G270" s="14" t="s">
        <v>49</v>
      </c>
      <c r="H270" s="16">
        <v>23</v>
      </c>
      <c r="I270" s="16">
        <v>437</v>
      </c>
      <c r="J270" s="16">
        <v>184</v>
      </c>
      <c r="K270" s="17">
        <v>63</v>
      </c>
      <c r="L270" s="17">
        <v>76</v>
      </c>
      <c r="M270" s="17">
        <v>65</v>
      </c>
      <c r="N270" s="17">
        <v>78</v>
      </c>
      <c r="O270" s="17">
        <v>282</v>
      </c>
      <c r="P270" s="11" t="s">
        <v>71</v>
      </c>
    </row>
    <row r="271" spans="1:16" ht="15" customHeight="1" thickBot="1">
      <c r="A271" s="13">
        <v>40553</v>
      </c>
      <c r="B271" s="14" t="s">
        <v>14</v>
      </c>
      <c r="C271" s="14" t="s">
        <v>22</v>
      </c>
      <c r="D271" s="16">
        <v>152</v>
      </c>
      <c r="E271" s="14" t="s">
        <v>83</v>
      </c>
      <c r="F271" s="14" t="s">
        <v>24</v>
      </c>
      <c r="G271" s="14" t="s">
        <v>49</v>
      </c>
      <c r="H271" s="16">
        <v>8</v>
      </c>
      <c r="I271" s="16">
        <v>152</v>
      </c>
      <c r="J271" s="16">
        <v>64</v>
      </c>
      <c r="K271" s="17">
        <v>97</v>
      </c>
      <c r="L271" s="17">
        <v>79</v>
      </c>
      <c r="M271" s="17">
        <v>85</v>
      </c>
      <c r="N271" s="17">
        <v>76</v>
      </c>
      <c r="O271" s="17">
        <v>337</v>
      </c>
      <c r="P271" s="11" t="s">
        <v>65</v>
      </c>
    </row>
    <row r="272" spans="1:16" ht="15" customHeight="1" thickBot="1">
      <c r="A272" s="13">
        <v>40561</v>
      </c>
      <c r="B272" s="14" t="s">
        <v>14</v>
      </c>
      <c r="C272" s="14" t="s">
        <v>19</v>
      </c>
      <c r="D272" s="16">
        <v>152</v>
      </c>
      <c r="E272" s="14" t="s">
        <v>63</v>
      </c>
      <c r="F272" s="14" t="s">
        <v>13</v>
      </c>
      <c r="G272" s="14" t="s">
        <v>80</v>
      </c>
      <c r="H272" s="16">
        <v>8</v>
      </c>
      <c r="I272" s="16">
        <v>152</v>
      </c>
      <c r="J272" s="16">
        <v>64</v>
      </c>
      <c r="K272" s="17">
        <v>83</v>
      </c>
      <c r="L272" s="17">
        <v>62</v>
      </c>
      <c r="M272" s="17">
        <v>93</v>
      </c>
      <c r="N272" s="17">
        <v>100</v>
      </c>
      <c r="O272" s="17">
        <v>338</v>
      </c>
      <c r="P272" s="11" t="s">
        <v>65</v>
      </c>
    </row>
    <row r="273" spans="1:16" ht="15" customHeight="1" thickBot="1">
      <c r="A273" s="13">
        <v>40558</v>
      </c>
      <c r="B273" s="14" t="s">
        <v>14</v>
      </c>
      <c r="C273" s="14" t="s">
        <v>22</v>
      </c>
      <c r="D273" s="16">
        <v>209</v>
      </c>
      <c r="E273" s="14" t="s">
        <v>83</v>
      </c>
      <c r="F273" s="14" t="s">
        <v>17</v>
      </c>
      <c r="G273" s="14" t="s">
        <v>52</v>
      </c>
      <c r="H273" s="16">
        <v>11</v>
      </c>
      <c r="I273" s="16">
        <v>209</v>
      </c>
      <c r="J273" s="16">
        <v>88</v>
      </c>
      <c r="K273" s="17">
        <v>62</v>
      </c>
      <c r="L273" s="17">
        <v>95</v>
      </c>
      <c r="M273" s="17">
        <v>76</v>
      </c>
      <c r="N273" s="17">
        <v>71</v>
      </c>
      <c r="O273" s="17">
        <v>304</v>
      </c>
      <c r="P273" s="11" t="s">
        <v>65</v>
      </c>
    </row>
    <row r="274" spans="1:16" ht="15" customHeight="1" thickBot="1">
      <c r="A274" s="13">
        <v>40588</v>
      </c>
      <c r="B274" s="14" t="s">
        <v>14</v>
      </c>
      <c r="C274" s="14" t="s">
        <v>22</v>
      </c>
      <c r="D274" s="16">
        <v>209</v>
      </c>
      <c r="E274" s="14" t="s">
        <v>83</v>
      </c>
      <c r="F274" s="14" t="s">
        <v>17</v>
      </c>
      <c r="G274" s="14" t="s">
        <v>52</v>
      </c>
      <c r="H274" s="16">
        <v>11</v>
      </c>
      <c r="I274" s="16">
        <v>209</v>
      </c>
      <c r="J274" s="16">
        <v>88</v>
      </c>
      <c r="K274" s="17">
        <v>67</v>
      </c>
      <c r="L274" s="17">
        <v>93</v>
      </c>
      <c r="M274" s="17">
        <v>79</v>
      </c>
      <c r="N274" s="17">
        <v>71</v>
      </c>
      <c r="O274" s="17">
        <v>310</v>
      </c>
      <c r="P274" s="11" t="s">
        <v>71</v>
      </c>
    </row>
    <row r="275" spans="1:16" ht="15" customHeight="1" thickBot="1">
      <c r="A275" s="13">
        <v>40563</v>
      </c>
      <c r="B275" s="14" t="s">
        <v>14</v>
      </c>
      <c r="C275" s="14" t="s">
        <v>19</v>
      </c>
      <c r="D275" s="15">
        <v>1102</v>
      </c>
      <c r="E275" s="14" t="s">
        <v>63</v>
      </c>
      <c r="F275" s="14" t="s">
        <v>13</v>
      </c>
      <c r="G275" s="14" t="s">
        <v>52</v>
      </c>
      <c r="H275" s="16">
        <v>58</v>
      </c>
      <c r="I275" s="15">
        <v>1102</v>
      </c>
      <c r="J275" s="16">
        <v>464</v>
      </c>
      <c r="K275" s="17">
        <v>71</v>
      </c>
      <c r="L275" s="17">
        <v>60</v>
      </c>
      <c r="M275" s="17">
        <v>73</v>
      </c>
      <c r="N275" s="17">
        <v>74</v>
      </c>
      <c r="O275" s="17">
        <v>278</v>
      </c>
      <c r="P275" s="11" t="s">
        <v>65</v>
      </c>
    </row>
    <row r="276" spans="1:16" ht="15" customHeight="1">
      <c r="A276" s="40"/>
    </row>
    <row r="277" spans="1:16" ht="15" customHeight="1">
      <c r="A277" s="37"/>
    </row>
    <row r="278" spans="1:16" ht="15" customHeight="1">
      <c r="A278" s="40"/>
    </row>
    <row r="279" spans="1:16" ht="15" customHeight="1">
      <c r="A279" s="37"/>
    </row>
    <row r="280" spans="1:16" ht="15" customHeight="1">
      <c r="A280" s="40"/>
    </row>
    <row r="281" spans="1:16" ht="15" customHeight="1">
      <c r="A281" s="37"/>
    </row>
    <row r="282" spans="1:16" ht="15" customHeight="1">
      <c r="A282" s="40"/>
    </row>
    <row r="283" spans="1:16" ht="15" customHeight="1">
      <c r="A283" s="40"/>
    </row>
    <row r="284" spans="1:16" ht="15" customHeight="1">
      <c r="A284" s="40"/>
    </row>
    <row r="285" spans="1:16" ht="15" customHeight="1">
      <c r="A285" s="40"/>
    </row>
    <row r="286" spans="1:16" ht="15" customHeight="1">
      <c r="A286" s="37"/>
    </row>
    <row r="287" spans="1:16" ht="15" customHeight="1">
      <c r="A287" s="40"/>
    </row>
    <row r="288" spans="1:16" ht="15" customHeight="1">
      <c r="A288" s="37"/>
    </row>
    <row r="289" spans="1:1" ht="15" customHeight="1">
      <c r="A289" s="40"/>
    </row>
    <row r="290" spans="1:1" ht="15" customHeight="1">
      <c r="A290" s="37"/>
    </row>
    <row r="291" spans="1:1" ht="15" customHeight="1">
      <c r="A291" s="40"/>
    </row>
    <row r="292" spans="1:1" ht="15" customHeight="1">
      <c r="A292" s="40"/>
    </row>
    <row r="293" spans="1:1" ht="15" customHeight="1">
      <c r="A293" s="37"/>
    </row>
    <row r="294" spans="1:1" ht="15" customHeight="1">
      <c r="A294" s="40"/>
    </row>
    <row r="295" spans="1:1" ht="15" customHeight="1">
      <c r="A295" s="37"/>
    </row>
    <row r="296" spans="1:1" ht="15" customHeight="1">
      <c r="A296" s="40"/>
    </row>
    <row r="297" spans="1:1" ht="15" customHeight="1">
      <c r="A297" s="40"/>
    </row>
    <row r="298" spans="1:1" ht="15" customHeight="1">
      <c r="A298" s="40"/>
    </row>
    <row r="299" spans="1:1" ht="15" customHeight="1">
      <c r="A299" s="36"/>
    </row>
    <row r="300" spans="1:1" ht="15" customHeight="1">
      <c r="A300" s="37"/>
    </row>
    <row r="301" spans="1:1" ht="15" customHeight="1">
      <c r="A301" s="40"/>
    </row>
    <row r="302" spans="1:1" ht="15" customHeight="1">
      <c r="A302" s="37"/>
    </row>
    <row r="303" spans="1:1" ht="15" customHeight="1">
      <c r="A303" s="40"/>
    </row>
    <row r="304" spans="1:1" ht="15" customHeight="1">
      <c r="A304" s="37"/>
    </row>
    <row r="305" spans="1:1" ht="15" customHeight="1">
      <c r="A305" s="40"/>
    </row>
    <row r="306" spans="1:1" ht="15" customHeight="1">
      <c r="A306" s="37"/>
    </row>
    <row r="307" spans="1:1" ht="15" customHeight="1">
      <c r="A307" s="40"/>
    </row>
    <row r="308" spans="1:1" ht="15" customHeight="1">
      <c r="A308" s="37"/>
    </row>
    <row r="309" spans="1:1" ht="15" customHeight="1">
      <c r="A309" s="40"/>
    </row>
    <row r="310" spans="1:1" ht="15" customHeight="1">
      <c r="A310" s="40"/>
    </row>
    <row r="311" spans="1:1" ht="15" customHeight="1">
      <c r="A311" s="37"/>
    </row>
    <row r="312" spans="1:1" ht="15" customHeight="1">
      <c r="A312" s="40"/>
    </row>
    <row r="313" spans="1:1" ht="15" customHeight="1">
      <c r="A313" s="37"/>
    </row>
    <row r="314" spans="1:1" ht="15" customHeight="1">
      <c r="A314" s="40"/>
    </row>
    <row r="315" spans="1:1" ht="15" customHeight="1">
      <c r="A315" s="37"/>
    </row>
    <row r="316" spans="1:1" ht="15" customHeight="1">
      <c r="A316" s="40"/>
    </row>
    <row r="317" spans="1:1" ht="15" customHeight="1">
      <c r="A317" s="40"/>
    </row>
    <row r="318" spans="1:1" ht="15" customHeight="1">
      <c r="A318" s="37"/>
    </row>
    <row r="319" spans="1:1" ht="15" customHeight="1">
      <c r="A319" s="40"/>
    </row>
    <row r="320" spans="1:1" ht="15" customHeight="1">
      <c r="A320" s="37"/>
    </row>
    <row r="321" spans="1:1" ht="15" customHeight="1">
      <c r="A321" s="40"/>
    </row>
    <row r="322" spans="1:1" ht="15" customHeight="1">
      <c r="A322" s="40"/>
    </row>
    <row r="323" spans="1:1" ht="15" customHeight="1">
      <c r="A323" s="37"/>
    </row>
    <row r="324" spans="1:1" ht="15" customHeight="1">
      <c r="A324" s="40"/>
    </row>
    <row r="325" spans="1:1" ht="15" customHeight="1">
      <c r="A325" s="37"/>
    </row>
    <row r="326" spans="1:1" ht="15" customHeight="1">
      <c r="A326" s="40"/>
    </row>
    <row r="327" spans="1:1" ht="15" customHeight="1">
      <c r="A327" s="37"/>
    </row>
    <row r="328" spans="1:1" ht="15" customHeight="1">
      <c r="A328" s="40"/>
    </row>
    <row r="329" spans="1:1" ht="15" customHeight="1">
      <c r="A329" s="37"/>
    </row>
    <row r="330" spans="1:1" ht="15" customHeight="1">
      <c r="A330" s="40"/>
    </row>
    <row r="331" spans="1:1" ht="15" customHeight="1">
      <c r="A331" s="37"/>
    </row>
    <row r="332" spans="1:1" ht="15" customHeight="1">
      <c r="A332" s="40"/>
    </row>
    <row r="333" spans="1:1" ht="15" customHeight="1">
      <c r="A333" s="40"/>
    </row>
    <row r="334" spans="1:1" ht="15" customHeight="1">
      <c r="A334" s="37"/>
    </row>
    <row r="335" spans="1:1" ht="15" customHeight="1">
      <c r="A335" s="40"/>
    </row>
    <row r="336" spans="1:1" ht="15" customHeight="1">
      <c r="A336" s="36"/>
    </row>
  </sheetData>
  <autoFilter ref="AH3:AW138"/>
  <conditionalFormatting sqref="S95:S263">
    <cfRule type="cellIs" dxfId="8" priority="3" operator="greaterThan">
      <formula>350</formula>
    </cfRule>
  </conditionalFormatting>
  <conditionalFormatting sqref="BE3:BE40">
    <cfRule type="top10" dxfId="7" priority="2" rank="2"/>
  </conditionalFormatting>
  <conditionalFormatting sqref="BF3:BF40">
    <cfRule type="top10" dxfId="6" priority="1" bottom="1" rank="3"/>
  </conditionalFormatting>
  <pageMargins left="0.7" right="0.7" top="0.75" bottom="0.75" header="0" footer="0"/>
  <pageSetup orientation="landscape" r:id="rId9"/>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16"/>
  <sheetViews>
    <sheetView zoomScale="81" workbookViewId="0">
      <selection activeCell="G31" sqref="G31"/>
    </sheetView>
  </sheetViews>
  <sheetFormatPr defaultColWidth="14.4140625" defaultRowHeight="15" customHeight="1"/>
  <cols>
    <col min="1" max="1" width="15.75" customWidth="1"/>
    <col min="2" max="5" width="8.75" customWidth="1"/>
    <col min="6" max="6" width="12.58203125" customWidth="1"/>
    <col min="7" max="7" width="8.75" customWidth="1"/>
    <col min="8" max="8" width="12.08203125" customWidth="1"/>
    <col min="9" max="9" width="11.75" customWidth="1"/>
    <col min="10" max="10" width="8.75" customWidth="1"/>
    <col min="11" max="11" width="11.08203125" customWidth="1"/>
  </cols>
  <sheetData>
    <row r="1" spans="1:12" ht="14.25" customHeight="1">
      <c r="A1" s="22" t="s">
        <v>0</v>
      </c>
      <c r="B1" s="23" t="s">
        <v>3</v>
      </c>
      <c r="C1" s="23" t="s">
        <v>54</v>
      </c>
      <c r="D1" s="3"/>
      <c r="E1" s="3"/>
      <c r="F1" s="3"/>
      <c r="G1" s="3"/>
      <c r="H1" s="3"/>
      <c r="I1" s="3"/>
      <c r="J1" s="3"/>
    </row>
    <row r="2" spans="1:12" ht="14.25" customHeight="1" thickBot="1">
      <c r="A2" s="4">
        <v>40255</v>
      </c>
      <c r="B2" s="5" t="s">
        <v>89</v>
      </c>
      <c r="C2" s="24">
        <v>73</v>
      </c>
      <c r="D2" s="3"/>
      <c r="E2" s="3"/>
      <c r="F2" s="3"/>
      <c r="G2" s="3"/>
      <c r="H2" s="3"/>
      <c r="I2" s="3"/>
      <c r="J2" s="3"/>
      <c r="K2" t="s">
        <v>338</v>
      </c>
    </row>
    <row r="3" spans="1:12" ht="14.25" customHeight="1" thickBot="1">
      <c r="A3" s="4">
        <v>40256</v>
      </c>
      <c r="B3" s="5" t="s">
        <v>90</v>
      </c>
      <c r="C3" s="24">
        <v>121</v>
      </c>
      <c r="D3" s="3"/>
      <c r="E3" s="3"/>
      <c r="F3" s="18" t="s">
        <v>91</v>
      </c>
      <c r="G3" s="3"/>
      <c r="H3" s="3"/>
      <c r="I3" s="3"/>
      <c r="J3" s="3"/>
      <c r="K3" s="4">
        <v>40255</v>
      </c>
      <c r="L3" s="5" t="s">
        <v>89</v>
      </c>
    </row>
    <row r="4" spans="1:12" ht="14.25" customHeight="1" thickBot="1">
      <c r="A4" s="4">
        <v>40257</v>
      </c>
      <c r="B4" s="5" t="s">
        <v>89</v>
      </c>
      <c r="C4" s="24">
        <v>167</v>
      </c>
      <c r="D4" s="3"/>
      <c r="E4" s="3"/>
      <c r="F4" s="18" t="s">
        <v>92</v>
      </c>
      <c r="G4" s="3"/>
      <c r="H4" s="3"/>
      <c r="I4" s="3"/>
      <c r="J4" s="3"/>
    </row>
    <row r="5" spans="1:12" ht="14.25" customHeight="1">
      <c r="A5" s="4">
        <v>40258</v>
      </c>
      <c r="B5" s="5" t="s">
        <v>93</v>
      </c>
      <c r="C5" s="24">
        <v>167</v>
      </c>
      <c r="D5" s="3"/>
      <c r="E5" s="3"/>
      <c r="F5" s="18" t="s">
        <v>94</v>
      </c>
      <c r="G5" s="3"/>
      <c r="H5" s="3"/>
      <c r="I5" s="3"/>
      <c r="J5" s="3"/>
    </row>
    <row r="6" spans="1:12" ht="14.25" customHeight="1">
      <c r="A6" s="4">
        <v>40259</v>
      </c>
      <c r="B6" s="5" t="s">
        <v>95</v>
      </c>
      <c r="C6" s="24">
        <v>75</v>
      </c>
      <c r="D6" s="3"/>
      <c r="E6" s="3"/>
      <c r="F6" s="18" t="s">
        <v>96</v>
      </c>
      <c r="G6" s="3"/>
      <c r="H6" s="3"/>
      <c r="I6" s="3"/>
      <c r="J6" s="3"/>
    </row>
    <row r="7" spans="1:12" ht="14.25" customHeight="1">
      <c r="A7" s="4">
        <v>40260</v>
      </c>
      <c r="B7" s="5" t="s">
        <v>89</v>
      </c>
      <c r="C7" s="24">
        <v>157</v>
      </c>
      <c r="D7" s="3"/>
      <c r="E7" s="3"/>
      <c r="F7" s="18" t="s">
        <v>97</v>
      </c>
      <c r="G7" s="3"/>
      <c r="H7" s="3"/>
      <c r="I7" s="3"/>
      <c r="J7" s="3"/>
    </row>
    <row r="8" spans="1:12" ht="14.25" customHeight="1">
      <c r="A8" s="4">
        <v>40261</v>
      </c>
      <c r="B8" s="5" t="s">
        <v>95</v>
      </c>
      <c r="C8" s="24">
        <v>61</v>
      </c>
      <c r="D8" s="3"/>
      <c r="E8" s="3"/>
      <c r="F8" s="18" t="s">
        <v>98</v>
      </c>
      <c r="G8" s="3"/>
      <c r="H8" s="3"/>
      <c r="I8" s="3"/>
      <c r="J8" s="3"/>
    </row>
    <row r="9" spans="1:12" ht="14.25" customHeight="1" thickBot="1">
      <c r="A9" s="4">
        <v>40262</v>
      </c>
      <c r="B9" s="5" t="s">
        <v>89</v>
      </c>
      <c r="C9" s="24">
        <v>108</v>
      </c>
      <c r="D9" s="3"/>
      <c r="E9" s="3"/>
      <c r="F9" s="3"/>
      <c r="G9" s="3"/>
      <c r="H9" s="3"/>
      <c r="I9" s="3"/>
      <c r="J9" s="3"/>
    </row>
    <row r="10" spans="1:12" ht="14.25" customHeight="1" thickBot="1">
      <c r="A10" s="4">
        <v>40263</v>
      </c>
      <c r="B10" s="5" t="s">
        <v>90</v>
      </c>
      <c r="C10" s="24">
        <v>139</v>
      </c>
      <c r="D10" s="3"/>
      <c r="E10" s="3"/>
      <c r="F10" s="3">
        <v>1</v>
      </c>
      <c r="G10" s="3"/>
      <c r="H10" s="3">
        <v>2</v>
      </c>
      <c r="I10" s="3"/>
      <c r="J10" s="3"/>
      <c r="K10">
        <v>3</v>
      </c>
    </row>
    <row r="11" spans="1:12" ht="14.25" customHeight="1" thickBot="1">
      <c r="A11" s="4">
        <v>40264</v>
      </c>
      <c r="B11" s="5" t="s">
        <v>13</v>
      </c>
      <c r="C11" s="24">
        <v>130</v>
      </c>
      <c r="D11" s="3"/>
      <c r="E11" s="3"/>
      <c r="F11" s="4">
        <v>40255</v>
      </c>
      <c r="G11" s="3"/>
      <c r="H11" s="23" t="s">
        <v>54</v>
      </c>
      <c r="I11" s="23"/>
      <c r="J11" s="3"/>
      <c r="K11" s="23" t="s">
        <v>3</v>
      </c>
    </row>
    <row r="12" spans="1:12" ht="14.25" customHeight="1" thickBot="1">
      <c r="A12" s="4">
        <v>40265</v>
      </c>
      <c r="B12" s="5" t="s">
        <v>95</v>
      </c>
      <c r="C12" s="24">
        <v>66</v>
      </c>
      <c r="D12" s="3"/>
      <c r="E12" s="3"/>
      <c r="F12" s="4">
        <v>40256</v>
      </c>
      <c r="G12" s="3"/>
      <c r="H12" s="24">
        <v>170</v>
      </c>
      <c r="I12" s="5"/>
      <c r="J12" s="3"/>
      <c r="K12" s="5" t="s">
        <v>17</v>
      </c>
    </row>
    <row r="13" spans="1:12" ht="14.25" customHeight="1" thickBot="1">
      <c r="A13" s="4">
        <v>40266</v>
      </c>
      <c r="B13" s="5" t="s">
        <v>13</v>
      </c>
      <c r="C13" s="24">
        <v>86</v>
      </c>
      <c r="D13" s="3"/>
      <c r="E13" s="3"/>
      <c r="F13" s="4">
        <v>40257</v>
      </c>
      <c r="G13" s="3"/>
      <c r="H13" s="24">
        <v>170</v>
      </c>
      <c r="I13" s="5"/>
      <c r="J13" s="3"/>
      <c r="K13" s="5" t="s">
        <v>17</v>
      </c>
    </row>
    <row r="14" spans="1:12" ht="14.25" customHeight="1" thickBot="1">
      <c r="A14" s="4">
        <v>40267</v>
      </c>
      <c r="B14" s="5" t="s">
        <v>93</v>
      </c>
      <c r="C14" s="24">
        <v>122</v>
      </c>
      <c r="D14" s="3"/>
      <c r="E14" s="3"/>
      <c r="F14" s="4">
        <v>40258</v>
      </c>
      <c r="G14" s="3"/>
      <c r="H14" s="24">
        <v>168</v>
      </c>
      <c r="I14" s="5"/>
      <c r="J14" s="3"/>
      <c r="K14" s="5" t="s">
        <v>17</v>
      </c>
    </row>
    <row r="15" spans="1:12" ht="14.25" customHeight="1" thickBot="1">
      <c r="A15" s="4">
        <v>40268</v>
      </c>
      <c r="B15" s="5" t="s">
        <v>13</v>
      </c>
      <c r="C15" s="24">
        <v>50</v>
      </c>
      <c r="D15" s="3"/>
      <c r="E15" s="3"/>
      <c r="F15" s="4">
        <v>40259</v>
      </c>
      <c r="G15" s="3"/>
      <c r="H15" s="24">
        <v>168</v>
      </c>
      <c r="I15" s="5"/>
      <c r="J15" s="3"/>
      <c r="K15" s="5" t="s">
        <v>17</v>
      </c>
    </row>
    <row r="16" spans="1:12" ht="14.25" customHeight="1" thickBot="1">
      <c r="A16" s="4">
        <v>40269</v>
      </c>
      <c r="B16" s="5" t="s">
        <v>95</v>
      </c>
      <c r="C16" s="24">
        <v>77</v>
      </c>
      <c r="D16" s="3"/>
      <c r="E16" s="3"/>
      <c r="F16" s="4">
        <v>40260</v>
      </c>
      <c r="G16" s="3"/>
      <c r="H16" s="24">
        <v>167</v>
      </c>
      <c r="I16" s="5"/>
      <c r="J16" s="3"/>
      <c r="K16" s="5" t="s">
        <v>17</v>
      </c>
    </row>
    <row r="17" spans="1:11" ht="14.25" customHeight="1" thickBot="1">
      <c r="A17" s="4">
        <v>40270</v>
      </c>
      <c r="B17" s="5" t="s">
        <v>89</v>
      </c>
      <c r="C17" s="24">
        <v>140</v>
      </c>
      <c r="D17" s="3"/>
      <c r="E17" s="3"/>
      <c r="F17" s="4">
        <v>40261</v>
      </c>
      <c r="G17" s="3"/>
      <c r="H17" s="24">
        <v>167</v>
      </c>
      <c r="I17" s="5"/>
      <c r="J17" s="3"/>
      <c r="K17" s="5" t="s">
        <v>17</v>
      </c>
    </row>
    <row r="18" spans="1:11" ht="14.25" customHeight="1" thickBot="1">
      <c r="A18" s="4">
        <v>40271</v>
      </c>
      <c r="B18" s="5" t="s">
        <v>95</v>
      </c>
      <c r="C18" s="24">
        <v>107</v>
      </c>
      <c r="D18" s="3"/>
      <c r="E18" s="3"/>
      <c r="F18" s="4">
        <v>40262</v>
      </c>
      <c r="G18" s="3"/>
      <c r="H18" s="24">
        <v>167</v>
      </c>
      <c r="I18" s="5"/>
      <c r="J18" s="3"/>
      <c r="K18" s="5" t="s">
        <v>17</v>
      </c>
    </row>
    <row r="19" spans="1:11" ht="14.25" customHeight="1" thickBot="1">
      <c r="A19" s="4">
        <v>40272</v>
      </c>
      <c r="B19" s="5" t="s">
        <v>13</v>
      </c>
      <c r="C19" s="24">
        <v>109</v>
      </c>
      <c r="D19" s="3"/>
      <c r="E19" s="3"/>
      <c r="F19" s="4">
        <v>40263</v>
      </c>
      <c r="G19" s="3"/>
      <c r="H19" s="24">
        <v>167</v>
      </c>
      <c r="I19" s="5"/>
      <c r="J19" s="3"/>
      <c r="K19" s="5" t="s">
        <v>17</v>
      </c>
    </row>
    <row r="20" spans="1:11" ht="14.25" customHeight="1" thickBot="1">
      <c r="A20" s="4">
        <v>40273</v>
      </c>
      <c r="B20" s="5" t="s">
        <v>93</v>
      </c>
      <c r="C20" s="24">
        <v>121</v>
      </c>
      <c r="D20" s="3"/>
      <c r="E20" s="3"/>
      <c r="F20" s="4">
        <v>40264</v>
      </c>
      <c r="G20" s="3"/>
      <c r="H20" s="24">
        <v>167</v>
      </c>
      <c r="I20" s="5"/>
      <c r="J20" s="3"/>
      <c r="K20" s="5" t="s">
        <v>17</v>
      </c>
    </row>
    <row r="21" spans="1:11" ht="14.25" customHeight="1" thickBot="1">
      <c r="A21" s="4">
        <v>40274</v>
      </c>
      <c r="B21" s="5" t="s">
        <v>89</v>
      </c>
      <c r="C21" s="24">
        <v>78</v>
      </c>
      <c r="D21" s="3"/>
      <c r="E21" s="3"/>
      <c r="F21" s="4">
        <v>40265</v>
      </c>
      <c r="G21" s="3"/>
      <c r="H21" s="24">
        <v>166</v>
      </c>
      <c r="I21" s="5"/>
      <c r="J21" s="3"/>
      <c r="K21" s="5" t="s">
        <v>17</v>
      </c>
    </row>
    <row r="22" spans="1:11" ht="14.25" customHeight="1" thickBot="1">
      <c r="A22" s="4">
        <v>40275</v>
      </c>
      <c r="B22" s="5" t="s">
        <v>13</v>
      </c>
      <c r="C22" s="24">
        <v>168</v>
      </c>
      <c r="D22" s="3"/>
      <c r="E22" s="3"/>
      <c r="F22" s="4">
        <v>40266</v>
      </c>
      <c r="G22" s="3"/>
      <c r="H22" s="24">
        <v>166</v>
      </c>
      <c r="I22" s="5"/>
      <c r="J22" s="3"/>
      <c r="K22" s="5" t="s">
        <v>17</v>
      </c>
    </row>
    <row r="23" spans="1:11" ht="14.25" customHeight="1" thickBot="1">
      <c r="A23" s="4">
        <v>40276</v>
      </c>
      <c r="B23" s="5" t="s">
        <v>90</v>
      </c>
      <c r="C23" s="24">
        <v>88</v>
      </c>
      <c r="D23" s="3"/>
      <c r="E23" s="3"/>
      <c r="F23" s="4">
        <v>40267</v>
      </c>
      <c r="G23" s="3"/>
      <c r="H23" s="24">
        <v>165</v>
      </c>
      <c r="I23" s="5"/>
      <c r="J23" s="3"/>
      <c r="K23" s="5" t="s">
        <v>17</v>
      </c>
    </row>
    <row r="24" spans="1:11" ht="14.25" customHeight="1" thickBot="1">
      <c r="A24" s="4">
        <v>40277</v>
      </c>
      <c r="B24" s="5" t="s">
        <v>17</v>
      </c>
      <c r="C24" s="24">
        <v>110</v>
      </c>
      <c r="D24" s="3"/>
      <c r="E24" s="3"/>
      <c r="F24" s="4">
        <v>40268</v>
      </c>
      <c r="G24" s="3"/>
      <c r="H24" s="24">
        <v>163</v>
      </c>
      <c r="I24" s="5"/>
      <c r="J24" s="3"/>
      <c r="K24" s="5" t="s">
        <v>17</v>
      </c>
    </row>
    <row r="25" spans="1:11" ht="14.25" customHeight="1" thickBot="1">
      <c r="A25" s="4">
        <v>40278</v>
      </c>
      <c r="B25" s="5" t="s">
        <v>17</v>
      </c>
      <c r="C25" s="24">
        <v>132</v>
      </c>
      <c r="D25" s="3"/>
      <c r="E25" s="3"/>
      <c r="F25" s="4">
        <v>40269</v>
      </c>
      <c r="G25" s="3"/>
      <c r="H25" s="24">
        <v>160</v>
      </c>
      <c r="I25" s="5"/>
      <c r="J25" s="3"/>
      <c r="K25" s="5" t="s">
        <v>17</v>
      </c>
    </row>
    <row r="26" spans="1:11" ht="14.25" customHeight="1" thickBot="1">
      <c r="A26" s="4">
        <v>40279</v>
      </c>
      <c r="B26" s="5" t="s">
        <v>90</v>
      </c>
      <c r="C26" s="24">
        <v>54</v>
      </c>
      <c r="D26" s="3"/>
      <c r="E26" s="3"/>
      <c r="F26" s="4">
        <v>40270</v>
      </c>
      <c r="G26" s="3"/>
      <c r="H26" s="24">
        <v>160</v>
      </c>
      <c r="I26" s="5"/>
      <c r="J26" s="3"/>
      <c r="K26" s="5" t="s">
        <v>17</v>
      </c>
    </row>
    <row r="27" spans="1:11" ht="14.25" customHeight="1" thickBot="1">
      <c r="A27" s="4">
        <v>40280</v>
      </c>
      <c r="B27" s="5" t="s">
        <v>89</v>
      </c>
      <c r="C27" s="24">
        <v>58</v>
      </c>
      <c r="D27" s="3"/>
      <c r="E27" s="3"/>
      <c r="F27" s="4">
        <v>40271</v>
      </c>
      <c r="G27" s="3"/>
      <c r="H27" s="24">
        <v>159</v>
      </c>
      <c r="I27" s="5"/>
      <c r="J27" s="3"/>
      <c r="K27" s="5" t="s">
        <v>17</v>
      </c>
    </row>
    <row r="28" spans="1:11" ht="14.25" customHeight="1" thickBot="1">
      <c r="A28" s="4">
        <v>40281</v>
      </c>
      <c r="B28" s="5" t="s">
        <v>95</v>
      </c>
      <c r="C28" s="24">
        <v>71</v>
      </c>
      <c r="D28" s="3"/>
      <c r="E28" s="3"/>
      <c r="F28" s="4">
        <v>40272</v>
      </c>
      <c r="G28" s="3"/>
      <c r="H28" s="24">
        <v>159</v>
      </c>
      <c r="I28" s="5"/>
      <c r="J28" s="3"/>
      <c r="K28" s="5" t="s">
        <v>17</v>
      </c>
    </row>
    <row r="29" spans="1:11" ht="14.25" customHeight="1" thickBot="1">
      <c r="A29" s="4">
        <v>40282</v>
      </c>
      <c r="B29" s="5" t="s">
        <v>90</v>
      </c>
      <c r="C29" s="24">
        <v>50</v>
      </c>
      <c r="D29" s="3"/>
      <c r="E29" s="3"/>
      <c r="F29" s="4">
        <v>40273</v>
      </c>
      <c r="G29" s="3"/>
      <c r="H29" s="24">
        <v>157</v>
      </c>
      <c r="I29" s="5"/>
      <c r="J29" s="3"/>
      <c r="K29" s="5" t="s">
        <v>17</v>
      </c>
    </row>
    <row r="30" spans="1:11" ht="14.25" customHeight="1" thickBot="1">
      <c r="A30" s="4">
        <v>40283</v>
      </c>
      <c r="B30" s="5" t="s">
        <v>89</v>
      </c>
      <c r="C30" s="24">
        <v>109</v>
      </c>
      <c r="D30" s="3"/>
      <c r="E30" s="3"/>
      <c r="F30" s="4">
        <v>40274</v>
      </c>
      <c r="G30" s="3"/>
      <c r="H30" s="24">
        <v>157</v>
      </c>
      <c r="I30" s="5"/>
      <c r="J30" s="3"/>
      <c r="K30" s="5" t="s">
        <v>17</v>
      </c>
    </row>
    <row r="31" spans="1:11" ht="14.25" customHeight="1" thickBot="1">
      <c r="A31" s="4">
        <v>40284</v>
      </c>
      <c r="B31" s="5" t="s">
        <v>95</v>
      </c>
      <c r="C31" s="24">
        <v>138</v>
      </c>
      <c r="D31" s="3"/>
      <c r="E31" s="3"/>
      <c r="F31" s="4">
        <v>40275</v>
      </c>
      <c r="G31" s="3"/>
      <c r="H31" s="24">
        <v>156</v>
      </c>
      <c r="I31" s="5"/>
      <c r="J31" s="3"/>
      <c r="K31" s="5" t="s">
        <v>17</v>
      </c>
    </row>
    <row r="32" spans="1:11" ht="14.25" customHeight="1" thickBot="1">
      <c r="A32" s="4">
        <v>40285</v>
      </c>
      <c r="B32" s="5" t="s">
        <v>90</v>
      </c>
      <c r="C32" s="24">
        <v>74</v>
      </c>
      <c r="D32" s="3"/>
      <c r="E32" s="3"/>
      <c r="F32" s="4">
        <v>40276</v>
      </c>
      <c r="G32" s="3"/>
      <c r="H32" s="24">
        <v>155</v>
      </c>
      <c r="I32" s="5"/>
      <c r="J32" s="3"/>
      <c r="K32" s="5" t="s">
        <v>17</v>
      </c>
    </row>
    <row r="33" spans="1:11" ht="14.25" customHeight="1" thickBot="1">
      <c r="A33" s="4">
        <v>40286</v>
      </c>
      <c r="B33" s="5" t="s">
        <v>13</v>
      </c>
      <c r="C33" s="24">
        <v>50</v>
      </c>
      <c r="D33" s="3"/>
      <c r="E33" s="3"/>
      <c r="F33" s="4">
        <v>40277</v>
      </c>
      <c r="G33" s="3"/>
      <c r="H33" s="24">
        <v>153</v>
      </c>
      <c r="I33" s="5"/>
      <c r="J33" s="3"/>
      <c r="K33" s="5" t="s">
        <v>17</v>
      </c>
    </row>
    <row r="34" spans="1:11" ht="14.25" customHeight="1" thickBot="1">
      <c r="A34" s="4">
        <v>40287</v>
      </c>
      <c r="B34" s="5" t="s">
        <v>17</v>
      </c>
      <c r="C34" s="24">
        <v>103</v>
      </c>
      <c r="D34" s="3"/>
      <c r="E34" s="3"/>
      <c r="F34" s="4">
        <v>40278</v>
      </c>
      <c r="G34" s="3"/>
      <c r="H34" s="24">
        <v>153</v>
      </c>
      <c r="I34" s="5"/>
      <c r="J34" s="3"/>
      <c r="K34" s="5" t="s">
        <v>17</v>
      </c>
    </row>
    <row r="35" spans="1:11" ht="14.25" customHeight="1" thickBot="1">
      <c r="A35" s="4">
        <v>40288</v>
      </c>
      <c r="B35" s="5" t="s">
        <v>95</v>
      </c>
      <c r="C35" s="24">
        <v>134</v>
      </c>
      <c r="D35" s="3"/>
      <c r="E35" s="3"/>
      <c r="F35" s="4">
        <v>40279</v>
      </c>
      <c r="G35" s="3"/>
      <c r="H35" s="24">
        <v>152</v>
      </c>
      <c r="I35" s="5"/>
      <c r="J35" s="3"/>
      <c r="K35" s="5" t="s">
        <v>17</v>
      </c>
    </row>
    <row r="36" spans="1:11" ht="14.25" customHeight="1" thickBot="1">
      <c r="A36" s="4">
        <v>40289</v>
      </c>
      <c r="B36" s="5" t="s">
        <v>17</v>
      </c>
      <c r="C36" s="24">
        <v>151</v>
      </c>
      <c r="D36" s="3"/>
      <c r="E36" s="3"/>
      <c r="F36" s="4">
        <v>40280</v>
      </c>
      <c r="G36" s="3"/>
      <c r="H36" s="24">
        <v>152</v>
      </c>
      <c r="I36" s="5"/>
      <c r="J36" s="3"/>
      <c r="K36" s="5" t="s">
        <v>17</v>
      </c>
    </row>
    <row r="37" spans="1:11" ht="14.25" customHeight="1" thickBot="1">
      <c r="A37" s="4">
        <v>40290</v>
      </c>
      <c r="B37" s="5" t="s">
        <v>93</v>
      </c>
      <c r="C37" s="24">
        <v>135</v>
      </c>
      <c r="D37" s="3"/>
      <c r="E37" s="3"/>
      <c r="F37" s="4">
        <v>40281</v>
      </c>
      <c r="G37" s="3"/>
      <c r="H37" s="24">
        <v>152</v>
      </c>
      <c r="I37" s="5"/>
      <c r="J37" s="3"/>
      <c r="K37" s="5" t="s">
        <v>17</v>
      </c>
    </row>
    <row r="38" spans="1:11" ht="14.25" customHeight="1" thickBot="1">
      <c r="A38" s="4">
        <v>40291</v>
      </c>
      <c r="B38" s="5" t="s">
        <v>17</v>
      </c>
      <c r="C38" s="24">
        <v>54</v>
      </c>
      <c r="D38" s="3"/>
      <c r="E38" s="3"/>
      <c r="F38" s="4">
        <v>40282</v>
      </c>
      <c r="G38" s="3"/>
      <c r="H38" s="24">
        <v>151</v>
      </c>
      <c r="I38" s="5"/>
      <c r="J38" s="3"/>
      <c r="K38" s="5" t="s">
        <v>89</v>
      </c>
    </row>
    <row r="39" spans="1:11" ht="14.25" customHeight="1" thickBot="1">
      <c r="A39" s="4">
        <v>40292</v>
      </c>
      <c r="B39" s="5" t="s">
        <v>95</v>
      </c>
      <c r="C39" s="24">
        <v>66</v>
      </c>
      <c r="D39" s="3"/>
      <c r="E39" s="3"/>
      <c r="F39" s="4">
        <v>40283</v>
      </c>
      <c r="G39" s="3"/>
      <c r="H39" s="24">
        <v>151</v>
      </c>
      <c r="I39" s="5"/>
      <c r="J39" s="3"/>
      <c r="K39" s="5" t="s">
        <v>89</v>
      </c>
    </row>
    <row r="40" spans="1:11" ht="14.25" customHeight="1" thickBot="1">
      <c r="A40" s="4">
        <v>40293</v>
      </c>
      <c r="B40" s="5" t="s">
        <v>13</v>
      </c>
      <c r="C40" s="24">
        <v>81</v>
      </c>
      <c r="D40" s="3"/>
      <c r="E40" s="3"/>
      <c r="F40" s="4">
        <v>40284</v>
      </c>
      <c r="G40" s="3"/>
      <c r="H40" s="24">
        <v>151</v>
      </c>
      <c r="I40" s="5"/>
      <c r="J40" s="3"/>
      <c r="K40" s="5" t="s">
        <v>89</v>
      </c>
    </row>
    <row r="41" spans="1:11" ht="14.25" customHeight="1" thickBot="1">
      <c r="A41" s="4">
        <v>40294</v>
      </c>
      <c r="B41" s="5" t="s">
        <v>17</v>
      </c>
      <c r="C41" s="24">
        <v>94</v>
      </c>
      <c r="D41" s="3"/>
      <c r="E41" s="3"/>
      <c r="F41" s="4">
        <v>40285</v>
      </c>
      <c r="G41" s="3"/>
      <c r="H41" s="24">
        <v>150</v>
      </c>
      <c r="I41" s="5"/>
      <c r="J41" s="3"/>
      <c r="K41" s="5" t="s">
        <v>89</v>
      </c>
    </row>
    <row r="42" spans="1:11" ht="14.25" customHeight="1" thickBot="1">
      <c r="A42" s="4">
        <v>40295</v>
      </c>
      <c r="B42" s="5" t="s">
        <v>90</v>
      </c>
      <c r="C42" s="24">
        <v>142</v>
      </c>
      <c r="D42" s="3"/>
      <c r="E42" s="3"/>
      <c r="F42" s="4">
        <v>40286</v>
      </c>
      <c r="G42" s="3"/>
      <c r="H42" s="24">
        <v>150</v>
      </c>
      <c r="I42" s="5"/>
      <c r="J42" s="3"/>
      <c r="K42" s="5" t="s">
        <v>89</v>
      </c>
    </row>
    <row r="43" spans="1:11" ht="14.25" customHeight="1" thickBot="1">
      <c r="A43" s="4">
        <v>40296</v>
      </c>
      <c r="B43" s="5" t="s">
        <v>89</v>
      </c>
      <c r="C43" s="24">
        <v>75</v>
      </c>
      <c r="D43" s="3"/>
      <c r="E43" s="3"/>
      <c r="F43" s="4">
        <v>40287</v>
      </c>
      <c r="G43" s="3"/>
      <c r="H43" s="24">
        <v>148</v>
      </c>
      <c r="I43" s="5"/>
      <c r="J43" s="3"/>
      <c r="K43" s="5" t="s">
        <v>89</v>
      </c>
    </row>
    <row r="44" spans="1:11" ht="14.25" customHeight="1" thickBot="1">
      <c r="A44" s="4">
        <v>40297</v>
      </c>
      <c r="B44" s="5" t="s">
        <v>17</v>
      </c>
      <c r="C44" s="24">
        <v>114</v>
      </c>
      <c r="D44" s="3"/>
      <c r="E44" s="3"/>
      <c r="F44" s="4">
        <v>40288</v>
      </c>
      <c r="G44" s="3"/>
      <c r="H44" s="24">
        <v>148</v>
      </c>
      <c r="I44" s="5"/>
      <c r="J44" s="3"/>
      <c r="K44" s="5" t="s">
        <v>89</v>
      </c>
    </row>
    <row r="45" spans="1:11" ht="14.25" customHeight="1" thickBot="1">
      <c r="A45" s="4">
        <v>40298</v>
      </c>
      <c r="B45" s="5" t="s">
        <v>89</v>
      </c>
      <c r="C45" s="24">
        <v>120</v>
      </c>
      <c r="D45" s="3"/>
      <c r="E45" s="3"/>
      <c r="F45" s="4">
        <v>40289</v>
      </c>
      <c r="G45" s="3"/>
      <c r="H45" s="24">
        <v>148</v>
      </c>
      <c r="I45" s="5"/>
      <c r="J45" s="3"/>
      <c r="K45" s="5" t="s">
        <v>89</v>
      </c>
    </row>
    <row r="46" spans="1:11" ht="14.25" customHeight="1" thickBot="1">
      <c r="A46" s="4">
        <v>40299</v>
      </c>
      <c r="B46" s="5" t="s">
        <v>17</v>
      </c>
      <c r="C46" s="24">
        <v>146</v>
      </c>
      <c r="D46" s="3"/>
      <c r="E46" s="3"/>
      <c r="F46" s="4">
        <v>40290</v>
      </c>
      <c r="G46" s="3"/>
      <c r="H46" s="24">
        <v>148</v>
      </c>
      <c r="I46" s="5"/>
      <c r="J46" s="3"/>
      <c r="K46" s="5" t="s">
        <v>89</v>
      </c>
    </row>
    <row r="47" spans="1:11" ht="14.25" customHeight="1" thickBot="1">
      <c r="A47" s="4">
        <v>40300</v>
      </c>
      <c r="B47" s="5" t="s">
        <v>13</v>
      </c>
      <c r="C47" s="24">
        <v>96</v>
      </c>
      <c r="D47" s="3"/>
      <c r="E47" s="3"/>
      <c r="F47" s="4">
        <v>40291</v>
      </c>
      <c r="G47" s="3"/>
      <c r="H47" s="24">
        <v>147</v>
      </c>
      <c r="I47" s="5"/>
      <c r="J47" s="3"/>
      <c r="K47" s="5" t="s">
        <v>89</v>
      </c>
    </row>
    <row r="48" spans="1:11" ht="14.25" customHeight="1" thickBot="1">
      <c r="A48" s="4">
        <v>40301</v>
      </c>
      <c r="B48" s="5" t="s">
        <v>13</v>
      </c>
      <c r="C48" s="24">
        <v>69</v>
      </c>
      <c r="D48" s="3"/>
      <c r="E48" s="3"/>
      <c r="F48" s="4">
        <v>40292</v>
      </c>
      <c r="G48" s="3"/>
      <c r="H48" s="24">
        <v>147</v>
      </c>
      <c r="I48" s="5"/>
      <c r="J48" s="3"/>
      <c r="K48" s="5" t="s">
        <v>89</v>
      </c>
    </row>
    <row r="49" spans="1:11" ht="14.25" customHeight="1" thickBot="1">
      <c r="A49" s="4">
        <v>40302</v>
      </c>
      <c r="B49" s="5" t="s">
        <v>95</v>
      </c>
      <c r="C49" s="24">
        <v>130</v>
      </c>
      <c r="D49" s="3"/>
      <c r="E49" s="3"/>
      <c r="F49" s="4">
        <v>40293</v>
      </c>
      <c r="G49" s="3"/>
      <c r="H49" s="24">
        <v>146</v>
      </c>
      <c r="I49" s="5"/>
      <c r="J49" s="3"/>
      <c r="K49" s="5" t="s">
        <v>89</v>
      </c>
    </row>
    <row r="50" spans="1:11" ht="14.25" customHeight="1" thickBot="1">
      <c r="A50" s="4">
        <v>40303</v>
      </c>
      <c r="B50" s="5" t="s">
        <v>89</v>
      </c>
      <c r="C50" s="24">
        <v>150</v>
      </c>
      <c r="D50" s="3"/>
      <c r="E50" s="3"/>
      <c r="F50" s="4">
        <v>40294</v>
      </c>
      <c r="G50" s="3"/>
      <c r="H50" s="24">
        <v>146</v>
      </c>
      <c r="I50" s="5"/>
      <c r="J50" s="3"/>
      <c r="K50" s="5" t="s">
        <v>89</v>
      </c>
    </row>
    <row r="51" spans="1:11" ht="14.25" customHeight="1" thickBot="1">
      <c r="A51" s="4">
        <v>40304</v>
      </c>
      <c r="B51" s="5" t="s">
        <v>17</v>
      </c>
      <c r="C51" s="24">
        <v>62</v>
      </c>
      <c r="D51" s="3"/>
      <c r="E51" s="3"/>
      <c r="F51" s="4">
        <v>40295</v>
      </c>
      <c r="G51" s="3"/>
      <c r="H51" s="24">
        <v>146</v>
      </c>
      <c r="I51" s="5"/>
      <c r="J51" s="3"/>
      <c r="K51" s="5" t="s">
        <v>89</v>
      </c>
    </row>
    <row r="52" spans="1:11" ht="14.25" customHeight="1" thickBot="1">
      <c r="A52" s="4">
        <v>40305</v>
      </c>
      <c r="B52" s="5" t="s">
        <v>13</v>
      </c>
      <c r="C52" s="24">
        <v>166</v>
      </c>
      <c r="D52" s="3"/>
      <c r="E52" s="3"/>
      <c r="F52" s="4">
        <v>40296</v>
      </c>
      <c r="G52" s="3"/>
      <c r="H52" s="24">
        <v>146</v>
      </c>
      <c r="I52" s="5"/>
      <c r="J52" s="3"/>
      <c r="K52" s="5" t="s">
        <v>89</v>
      </c>
    </row>
    <row r="53" spans="1:11" ht="14.25" customHeight="1" thickBot="1">
      <c r="A53" s="4">
        <v>40306</v>
      </c>
      <c r="B53" s="5" t="s">
        <v>13</v>
      </c>
      <c r="C53" s="24">
        <v>152</v>
      </c>
      <c r="D53" s="3"/>
      <c r="E53" s="3"/>
      <c r="F53" s="4">
        <v>40297</v>
      </c>
      <c r="G53" s="3"/>
      <c r="H53" s="24">
        <v>146</v>
      </c>
      <c r="I53" s="5"/>
      <c r="J53" s="3"/>
      <c r="K53" s="5" t="s">
        <v>89</v>
      </c>
    </row>
    <row r="54" spans="1:11" ht="14.25" customHeight="1" thickBot="1">
      <c r="A54" s="4">
        <v>40307</v>
      </c>
      <c r="B54" s="5" t="s">
        <v>93</v>
      </c>
      <c r="C54" s="24">
        <v>143</v>
      </c>
      <c r="D54" s="3"/>
      <c r="E54" s="3"/>
      <c r="F54" s="4">
        <v>40298</v>
      </c>
      <c r="G54" s="3"/>
      <c r="H54" s="24">
        <v>145</v>
      </c>
      <c r="I54" s="5"/>
      <c r="J54" s="3"/>
      <c r="K54" s="5" t="s">
        <v>89</v>
      </c>
    </row>
    <row r="55" spans="1:11" ht="14.25" customHeight="1" thickBot="1">
      <c r="A55" s="4">
        <v>40308</v>
      </c>
      <c r="B55" s="5" t="s">
        <v>93</v>
      </c>
      <c r="C55" s="24">
        <v>139</v>
      </c>
      <c r="D55" s="3"/>
      <c r="E55" s="3"/>
      <c r="F55" s="4">
        <v>40299</v>
      </c>
      <c r="G55" s="3"/>
      <c r="H55" s="24">
        <v>143</v>
      </c>
      <c r="I55" s="5"/>
      <c r="J55" s="3"/>
      <c r="K55" s="5" t="s">
        <v>89</v>
      </c>
    </row>
    <row r="56" spans="1:11" ht="14.25" customHeight="1" thickBot="1">
      <c r="A56" s="4">
        <v>40309</v>
      </c>
      <c r="B56" s="5" t="s">
        <v>17</v>
      </c>
      <c r="C56" s="24">
        <v>111</v>
      </c>
      <c r="D56" s="3"/>
      <c r="E56" s="3"/>
      <c r="F56" s="4">
        <v>40300</v>
      </c>
      <c r="G56" s="3"/>
      <c r="H56" s="24">
        <v>143</v>
      </c>
      <c r="I56" s="5"/>
      <c r="J56" s="3"/>
      <c r="K56" s="5" t="s">
        <v>89</v>
      </c>
    </row>
    <row r="57" spans="1:11" ht="14.25" customHeight="1" thickBot="1">
      <c r="A57" s="4">
        <v>40310</v>
      </c>
      <c r="B57" s="5" t="s">
        <v>93</v>
      </c>
      <c r="C57" s="24">
        <v>70</v>
      </c>
      <c r="D57" s="3"/>
      <c r="E57" s="3"/>
      <c r="F57" s="4">
        <v>40301</v>
      </c>
      <c r="G57" s="3"/>
      <c r="H57" s="24">
        <v>143</v>
      </c>
      <c r="I57" s="5"/>
      <c r="J57" s="3"/>
      <c r="K57" s="5" t="s">
        <v>89</v>
      </c>
    </row>
    <row r="58" spans="1:11" ht="14.25" customHeight="1" thickBot="1">
      <c r="A58" s="4">
        <v>40311</v>
      </c>
      <c r="B58" s="5" t="s">
        <v>89</v>
      </c>
      <c r="C58" s="24">
        <v>104</v>
      </c>
      <c r="D58" s="3"/>
      <c r="E58" s="3"/>
      <c r="F58" s="4">
        <v>40302</v>
      </c>
      <c r="G58" s="3"/>
      <c r="H58" s="24">
        <v>142</v>
      </c>
      <c r="I58" s="5"/>
      <c r="J58" s="3"/>
      <c r="K58" s="5" t="s">
        <v>89</v>
      </c>
    </row>
    <row r="59" spans="1:11" ht="14.25" customHeight="1" thickBot="1">
      <c r="A59" s="4">
        <v>40312</v>
      </c>
      <c r="B59" s="5" t="s">
        <v>13</v>
      </c>
      <c r="C59" s="24">
        <v>64</v>
      </c>
      <c r="D59" s="3"/>
      <c r="E59" s="3"/>
      <c r="F59" s="4">
        <v>40303</v>
      </c>
      <c r="G59" s="3"/>
      <c r="H59" s="24">
        <v>141</v>
      </c>
      <c r="I59" s="5"/>
      <c r="J59" s="3"/>
      <c r="K59" s="5" t="s">
        <v>89</v>
      </c>
    </row>
    <row r="60" spans="1:11" ht="14.25" customHeight="1" thickBot="1">
      <c r="A60" s="4">
        <v>40313</v>
      </c>
      <c r="B60" s="5" t="s">
        <v>90</v>
      </c>
      <c r="C60" s="24">
        <v>56</v>
      </c>
      <c r="D60" s="3"/>
      <c r="E60" s="3"/>
      <c r="F60" s="4">
        <v>40304</v>
      </c>
      <c r="G60" s="3"/>
      <c r="H60" s="24">
        <v>141</v>
      </c>
      <c r="I60" s="5"/>
      <c r="J60" s="3"/>
      <c r="K60" s="5" t="s">
        <v>89</v>
      </c>
    </row>
    <row r="61" spans="1:11" ht="14.25" customHeight="1" thickBot="1">
      <c r="A61" s="4">
        <v>40314</v>
      </c>
      <c r="B61" s="5" t="s">
        <v>93</v>
      </c>
      <c r="C61" s="24">
        <v>76</v>
      </c>
      <c r="D61" s="3"/>
      <c r="E61" s="3"/>
      <c r="F61" s="4">
        <v>40305</v>
      </c>
      <c r="G61" s="3"/>
      <c r="H61" s="24">
        <v>141</v>
      </c>
      <c r="I61" s="5"/>
      <c r="J61" s="3"/>
      <c r="K61" s="5" t="s">
        <v>89</v>
      </c>
    </row>
    <row r="62" spans="1:11" ht="14.25" customHeight="1" thickBot="1">
      <c r="A62" s="4">
        <v>40315</v>
      </c>
      <c r="B62" s="5" t="s">
        <v>93</v>
      </c>
      <c r="C62" s="24">
        <v>96</v>
      </c>
      <c r="D62" s="3"/>
      <c r="E62" s="3"/>
      <c r="F62" s="4">
        <v>40306</v>
      </c>
      <c r="G62" s="3"/>
      <c r="H62" s="24">
        <v>141</v>
      </c>
      <c r="I62" s="5"/>
      <c r="J62" s="3"/>
      <c r="K62" s="5" t="s">
        <v>89</v>
      </c>
    </row>
    <row r="63" spans="1:11" ht="14.25" customHeight="1" thickBot="1">
      <c r="A63" s="4">
        <v>40316</v>
      </c>
      <c r="B63" s="5" t="s">
        <v>89</v>
      </c>
      <c r="C63" s="24">
        <v>163</v>
      </c>
      <c r="D63" s="3"/>
      <c r="E63" s="3"/>
      <c r="F63" s="4">
        <v>40307</v>
      </c>
      <c r="G63" s="3"/>
      <c r="H63" s="24">
        <v>141</v>
      </c>
      <c r="I63" s="5"/>
      <c r="J63" s="3"/>
      <c r="K63" s="5" t="s">
        <v>89</v>
      </c>
    </row>
    <row r="64" spans="1:11" ht="14.25" customHeight="1" thickBot="1">
      <c r="A64" s="4">
        <v>40317</v>
      </c>
      <c r="B64" s="5" t="s">
        <v>93</v>
      </c>
      <c r="C64" s="24">
        <v>108</v>
      </c>
      <c r="D64" s="3"/>
      <c r="E64" s="3"/>
      <c r="F64" s="4">
        <v>40308</v>
      </c>
      <c r="G64" s="3"/>
      <c r="H64" s="24">
        <v>140</v>
      </c>
      <c r="I64" s="5"/>
      <c r="J64" s="3"/>
      <c r="K64" s="5" t="s">
        <v>89</v>
      </c>
    </row>
    <row r="65" spans="1:11" ht="14.25" customHeight="1" thickBot="1">
      <c r="A65" s="4">
        <v>40318</v>
      </c>
      <c r="B65" s="5" t="s">
        <v>93</v>
      </c>
      <c r="C65" s="24">
        <v>63</v>
      </c>
      <c r="D65" s="3"/>
      <c r="E65" s="3"/>
      <c r="F65" s="4">
        <v>40309</v>
      </c>
      <c r="G65" s="3"/>
      <c r="H65" s="24">
        <v>139</v>
      </c>
      <c r="I65" s="5"/>
      <c r="J65" s="3"/>
      <c r="K65" s="5" t="s">
        <v>89</v>
      </c>
    </row>
    <row r="66" spans="1:11" ht="14.25" customHeight="1" thickBot="1">
      <c r="A66" s="4">
        <v>40319</v>
      </c>
      <c r="B66" s="5" t="s">
        <v>89</v>
      </c>
      <c r="C66" s="24">
        <v>99</v>
      </c>
      <c r="D66" s="3"/>
      <c r="E66" s="3"/>
      <c r="F66" s="4">
        <v>40310</v>
      </c>
      <c r="G66" s="3"/>
      <c r="H66" s="24">
        <v>139</v>
      </c>
      <c r="I66" s="5"/>
      <c r="J66" s="3"/>
      <c r="K66" s="5" t="s">
        <v>89</v>
      </c>
    </row>
    <row r="67" spans="1:11" ht="14.25" customHeight="1" thickBot="1">
      <c r="A67" s="4">
        <v>40320</v>
      </c>
      <c r="B67" s="5" t="s">
        <v>90</v>
      </c>
      <c r="C67" s="24">
        <v>115</v>
      </c>
      <c r="D67" s="3"/>
      <c r="E67" s="3"/>
      <c r="F67" s="4">
        <v>40311</v>
      </c>
      <c r="G67" s="3"/>
      <c r="H67" s="24">
        <v>139</v>
      </c>
      <c r="I67" s="5"/>
      <c r="J67" s="3"/>
      <c r="K67" s="5" t="s">
        <v>89</v>
      </c>
    </row>
    <row r="68" spans="1:11" ht="14.25" customHeight="1" thickBot="1">
      <c r="A68" s="4">
        <v>40321</v>
      </c>
      <c r="B68" s="5" t="s">
        <v>89</v>
      </c>
      <c r="C68" s="24">
        <v>125</v>
      </c>
      <c r="D68" s="3"/>
      <c r="E68" s="3"/>
      <c r="F68" s="4">
        <v>40312</v>
      </c>
      <c r="G68" s="3"/>
      <c r="H68" s="24">
        <v>138</v>
      </c>
      <c r="I68" s="5"/>
      <c r="J68" s="3"/>
      <c r="K68" s="5" t="s">
        <v>89</v>
      </c>
    </row>
    <row r="69" spans="1:11" ht="14.25" customHeight="1" thickBot="1">
      <c r="A69" s="4">
        <v>40322</v>
      </c>
      <c r="B69" s="5" t="s">
        <v>93</v>
      </c>
      <c r="C69" s="24">
        <v>130</v>
      </c>
      <c r="D69" s="3"/>
      <c r="E69" s="3"/>
      <c r="F69" s="4">
        <v>40313</v>
      </c>
      <c r="G69" s="3"/>
      <c r="H69" s="24">
        <v>138</v>
      </c>
      <c r="I69" s="5"/>
      <c r="J69" s="3"/>
      <c r="K69" s="5" t="s">
        <v>89</v>
      </c>
    </row>
    <row r="70" spans="1:11" ht="14.25" customHeight="1" thickBot="1">
      <c r="A70" s="4">
        <v>40323</v>
      </c>
      <c r="B70" s="5" t="s">
        <v>93</v>
      </c>
      <c r="C70" s="24">
        <v>133</v>
      </c>
      <c r="D70" s="3"/>
      <c r="E70" s="3"/>
      <c r="F70" s="4">
        <v>40314</v>
      </c>
      <c r="G70" s="3"/>
      <c r="H70" s="24">
        <v>137</v>
      </c>
      <c r="I70" s="5"/>
      <c r="J70" s="3"/>
      <c r="K70" s="5" t="s">
        <v>89</v>
      </c>
    </row>
    <row r="71" spans="1:11" ht="14.25" customHeight="1" thickBot="1">
      <c r="A71" s="4">
        <v>40324</v>
      </c>
      <c r="B71" s="5" t="s">
        <v>93</v>
      </c>
      <c r="C71" s="24">
        <v>148</v>
      </c>
      <c r="D71" s="3"/>
      <c r="E71" s="3"/>
      <c r="F71" s="4">
        <v>40315</v>
      </c>
      <c r="G71" s="3"/>
      <c r="H71" s="24">
        <v>136</v>
      </c>
      <c r="I71" s="5"/>
      <c r="J71" s="3"/>
      <c r="K71" s="5" t="s">
        <v>90</v>
      </c>
    </row>
    <row r="72" spans="1:11" ht="14.25" customHeight="1" thickBot="1">
      <c r="A72" s="4">
        <v>40325</v>
      </c>
      <c r="B72" s="5" t="s">
        <v>93</v>
      </c>
      <c r="C72" s="24">
        <v>148</v>
      </c>
      <c r="D72" s="3"/>
      <c r="E72" s="3"/>
      <c r="F72" s="4">
        <v>40316</v>
      </c>
      <c r="G72" s="3"/>
      <c r="H72" s="24">
        <v>135</v>
      </c>
      <c r="I72" s="5"/>
      <c r="J72" s="3"/>
      <c r="K72" s="5" t="s">
        <v>90</v>
      </c>
    </row>
    <row r="73" spans="1:11" ht="14.25" customHeight="1" thickBot="1">
      <c r="A73" s="4">
        <v>40326</v>
      </c>
      <c r="B73" s="5" t="s">
        <v>93</v>
      </c>
      <c r="C73" s="24">
        <v>56</v>
      </c>
      <c r="D73" s="3"/>
      <c r="E73" s="3"/>
      <c r="F73" s="4">
        <v>40317</v>
      </c>
      <c r="G73" s="3"/>
      <c r="H73" s="24">
        <v>135</v>
      </c>
      <c r="I73" s="5"/>
      <c r="J73" s="3"/>
      <c r="K73" s="5" t="s">
        <v>90</v>
      </c>
    </row>
    <row r="74" spans="1:11" ht="14.25" customHeight="1" thickBot="1">
      <c r="A74" s="4">
        <v>40327</v>
      </c>
      <c r="B74" s="5" t="s">
        <v>89</v>
      </c>
      <c r="C74" s="24">
        <v>134</v>
      </c>
      <c r="D74" s="3"/>
      <c r="E74" s="3"/>
      <c r="F74" s="4">
        <v>40318</v>
      </c>
      <c r="G74" s="3"/>
      <c r="H74" s="24">
        <v>135</v>
      </c>
      <c r="I74" s="5"/>
      <c r="J74" s="3"/>
      <c r="K74" s="5" t="s">
        <v>90</v>
      </c>
    </row>
    <row r="75" spans="1:11" ht="14.25" customHeight="1" thickBot="1">
      <c r="A75" s="4">
        <v>40328</v>
      </c>
      <c r="B75" s="5" t="s">
        <v>89</v>
      </c>
      <c r="C75" s="24">
        <v>54</v>
      </c>
      <c r="D75" s="3"/>
      <c r="E75" s="3"/>
      <c r="F75" s="4">
        <v>40319</v>
      </c>
      <c r="G75" s="3"/>
      <c r="H75" s="24">
        <v>134</v>
      </c>
      <c r="I75" s="5"/>
      <c r="J75" s="3"/>
      <c r="K75" s="5" t="s">
        <v>90</v>
      </c>
    </row>
    <row r="76" spans="1:11" ht="14.25" customHeight="1" thickBot="1">
      <c r="A76" s="4">
        <v>40329</v>
      </c>
      <c r="B76" s="5" t="s">
        <v>90</v>
      </c>
      <c r="C76" s="24">
        <v>59</v>
      </c>
      <c r="D76" s="3"/>
      <c r="E76" s="3"/>
      <c r="F76" s="4">
        <v>40320</v>
      </c>
      <c r="G76" s="3"/>
      <c r="H76" s="24">
        <v>134</v>
      </c>
      <c r="I76" s="5"/>
      <c r="J76" s="3"/>
      <c r="K76" s="5" t="s">
        <v>90</v>
      </c>
    </row>
    <row r="77" spans="1:11" ht="14.25" customHeight="1" thickBot="1">
      <c r="A77" s="4">
        <v>40330</v>
      </c>
      <c r="B77" s="5" t="s">
        <v>90</v>
      </c>
      <c r="C77" s="24">
        <v>99</v>
      </c>
      <c r="D77" s="3"/>
      <c r="E77" s="3"/>
      <c r="F77" s="4">
        <v>40321</v>
      </c>
      <c r="G77" s="3"/>
      <c r="H77" s="24">
        <v>134</v>
      </c>
      <c r="I77" s="5"/>
      <c r="J77" s="3"/>
      <c r="K77" s="5" t="s">
        <v>90</v>
      </c>
    </row>
    <row r="78" spans="1:11" ht="14.25" customHeight="1" thickBot="1">
      <c r="A78" s="4">
        <v>40331</v>
      </c>
      <c r="B78" s="5" t="s">
        <v>95</v>
      </c>
      <c r="C78" s="24">
        <v>135</v>
      </c>
      <c r="D78" s="3"/>
      <c r="E78" s="3"/>
      <c r="F78" s="4">
        <v>40322</v>
      </c>
      <c r="G78" s="3"/>
      <c r="H78" s="24">
        <v>133</v>
      </c>
      <c r="I78" s="5"/>
      <c r="J78" s="3"/>
      <c r="K78" s="5" t="s">
        <v>90</v>
      </c>
    </row>
    <row r="79" spans="1:11" ht="14.25" customHeight="1" thickBot="1">
      <c r="A79" s="4">
        <v>40332</v>
      </c>
      <c r="B79" s="5" t="s">
        <v>93</v>
      </c>
      <c r="C79" s="24">
        <v>135</v>
      </c>
      <c r="D79" s="3"/>
      <c r="E79" s="3"/>
      <c r="F79" s="4">
        <v>40323</v>
      </c>
      <c r="G79" s="3"/>
      <c r="H79" s="24">
        <v>133</v>
      </c>
      <c r="I79" s="5"/>
      <c r="J79" s="3"/>
      <c r="K79" s="5" t="s">
        <v>90</v>
      </c>
    </row>
    <row r="80" spans="1:11" ht="14.25" customHeight="1" thickBot="1">
      <c r="A80" s="4">
        <v>40333</v>
      </c>
      <c r="B80" s="5" t="s">
        <v>93</v>
      </c>
      <c r="C80" s="24">
        <v>75</v>
      </c>
      <c r="D80" s="3"/>
      <c r="E80" s="3"/>
      <c r="F80" s="4">
        <v>40324</v>
      </c>
      <c r="G80" s="3"/>
      <c r="H80" s="24">
        <v>132</v>
      </c>
      <c r="I80" s="5"/>
      <c r="J80" s="3"/>
      <c r="K80" s="5" t="s">
        <v>90</v>
      </c>
    </row>
    <row r="81" spans="1:11" ht="14.25" customHeight="1" thickBot="1">
      <c r="A81" s="4">
        <v>40334</v>
      </c>
      <c r="B81" s="5" t="s">
        <v>95</v>
      </c>
      <c r="C81" s="24">
        <v>167</v>
      </c>
      <c r="D81" s="3"/>
      <c r="E81" s="3"/>
      <c r="F81" s="4">
        <v>40325</v>
      </c>
      <c r="G81" s="3"/>
      <c r="H81" s="24">
        <v>132</v>
      </c>
      <c r="I81" s="5"/>
      <c r="J81" s="3"/>
      <c r="K81" s="5" t="s">
        <v>90</v>
      </c>
    </row>
    <row r="82" spans="1:11" ht="14.25" customHeight="1" thickBot="1">
      <c r="A82" s="4">
        <v>40335</v>
      </c>
      <c r="B82" s="5" t="s">
        <v>93</v>
      </c>
      <c r="C82" s="24">
        <v>152</v>
      </c>
      <c r="D82" s="3"/>
      <c r="E82" s="3"/>
      <c r="F82" s="4">
        <v>40326</v>
      </c>
      <c r="G82" s="3"/>
      <c r="H82" s="24">
        <v>132</v>
      </c>
      <c r="I82" s="5"/>
      <c r="J82" s="3"/>
      <c r="K82" s="5" t="s">
        <v>90</v>
      </c>
    </row>
    <row r="83" spans="1:11" ht="14.25" customHeight="1" thickBot="1">
      <c r="A83" s="4">
        <v>40336</v>
      </c>
      <c r="B83" s="5" t="s">
        <v>95</v>
      </c>
      <c r="C83" s="24">
        <v>129</v>
      </c>
      <c r="D83" s="3"/>
      <c r="E83" s="3"/>
      <c r="F83" s="4">
        <v>40327</v>
      </c>
      <c r="G83" s="3"/>
      <c r="H83" s="24">
        <v>131</v>
      </c>
      <c r="I83" s="5"/>
      <c r="J83" s="3"/>
      <c r="K83" s="5" t="s">
        <v>90</v>
      </c>
    </row>
    <row r="84" spans="1:11" ht="14.25" customHeight="1" thickBot="1">
      <c r="A84" s="4">
        <v>40337</v>
      </c>
      <c r="B84" s="5" t="s">
        <v>13</v>
      </c>
      <c r="C84" s="24">
        <v>167</v>
      </c>
      <c r="D84" s="3"/>
      <c r="E84" s="3"/>
      <c r="F84" s="4">
        <v>40328</v>
      </c>
      <c r="G84" s="3"/>
      <c r="H84" s="24">
        <v>130</v>
      </c>
      <c r="I84" s="5"/>
      <c r="J84" s="3"/>
      <c r="K84" s="5" t="s">
        <v>90</v>
      </c>
    </row>
    <row r="85" spans="1:11" ht="14.25" customHeight="1" thickBot="1">
      <c r="A85" s="4">
        <v>40338</v>
      </c>
      <c r="B85" s="5" t="s">
        <v>93</v>
      </c>
      <c r="C85" s="24">
        <v>74</v>
      </c>
      <c r="D85" s="3"/>
      <c r="E85" s="3"/>
      <c r="F85" s="4">
        <v>40329</v>
      </c>
      <c r="G85" s="3"/>
      <c r="H85" s="24">
        <v>130</v>
      </c>
      <c r="I85" s="5"/>
      <c r="J85" s="3"/>
      <c r="K85" s="5" t="s">
        <v>90</v>
      </c>
    </row>
    <row r="86" spans="1:11" ht="14.25" customHeight="1" thickBot="1">
      <c r="A86" s="4">
        <v>40339</v>
      </c>
      <c r="B86" s="5" t="s">
        <v>17</v>
      </c>
      <c r="C86" s="24">
        <v>69</v>
      </c>
      <c r="D86" s="3"/>
      <c r="E86" s="3"/>
      <c r="F86" s="4">
        <v>40330</v>
      </c>
      <c r="G86" s="3"/>
      <c r="H86" s="24">
        <v>130</v>
      </c>
      <c r="I86" s="5"/>
      <c r="J86" s="3"/>
      <c r="K86" s="5" t="s">
        <v>90</v>
      </c>
    </row>
    <row r="87" spans="1:11" ht="14.25" customHeight="1" thickBot="1">
      <c r="A87" s="4">
        <v>40340</v>
      </c>
      <c r="B87" s="5" t="s">
        <v>17</v>
      </c>
      <c r="C87" s="24">
        <v>109</v>
      </c>
      <c r="D87" s="3"/>
      <c r="E87" s="3"/>
      <c r="F87" s="4">
        <v>40331</v>
      </c>
      <c r="G87" s="3"/>
      <c r="H87" s="24">
        <v>130</v>
      </c>
      <c r="I87" s="5"/>
      <c r="J87" s="3"/>
      <c r="K87" s="5" t="s">
        <v>90</v>
      </c>
    </row>
    <row r="88" spans="1:11" ht="14.25" customHeight="1" thickBot="1">
      <c r="A88" s="4">
        <v>40341</v>
      </c>
      <c r="B88" s="5" t="s">
        <v>93</v>
      </c>
      <c r="C88" s="24">
        <v>119</v>
      </c>
      <c r="D88" s="3"/>
      <c r="E88" s="3"/>
      <c r="F88" s="4">
        <v>40332</v>
      </c>
      <c r="G88" s="3"/>
      <c r="H88" s="24">
        <v>130</v>
      </c>
      <c r="I88" s="5"/>
      <c r="J88" s="3"/>
      <c r="K88" s="5" t="s">
        <v>90</v>
      </c>
    </row>
    <row r="89" spans="1:11" ht="14.25" customHeight="1" thickBot="1">
      <c r="A89" s="4">
        <v>40342</v>
      </c>
      <c r="B89" s="5" t="s">
        <v>90</v>
      </c>
      <c r="C89" s="24">
        <v>76</v>
      </c>
      <c r="D89" s="3"/>
      <c r="E89" s="3"/>
      <c r="F89" s="4">
        <v>40333</v>
      </c>
      <c r="G89" s="3"/>
      <c r="H89" s="24">
        <v>130</v>
      </c>
      <c r="I89" s="5"/>
      <c r="J89" s="3"/>
      <c r="K89" s="5" t="s">
        <v>90</v>
      </c>
    </row>
    <row r="90" spans="1:11" ht="14.25" customHeight="1" thickBot="1">
      <c r="A90" s="4">
        <v>40343</v>
      </c>
      <c r="B90" s="5" t="s">
        <v>95</v>
      </c>
      <c r="C90" s="24">
        <v>108</v>
      </c>
      <c r="D90" s="3"/>
      <c r="E90" s="3"/>
      <c r="F90" s="4">
        <v>40334</v>
      </c>
      <c r="G90" s="3"/>
      <c r="H90" s="24">
        <v>129</v>
      </c>
      <c r="I90" s="5"/>
      <c r="J90" s="3"/>
      <c r="K90" s="5" t="s">
        <v>90</v>
      </c>
    </row>
    <row r="91" spans="1:11" ht="14.25" customHeight="1" thickBot="1">
      <c r="A91" s="4">
        <v>40344</v>
      </c>
      <c r="B91" s="5" t="s">
        <v>95</v>
      </c>
      <c r="C91" s="24">
        <v>109</v>
      </c>
      <c r="D91" s="3"/>
      <c r="E91" s="3"/>
      <c r="F91" s="4">
        <v>40335</v>
      </c>
      <c r="G91" s="3"/>
      <c r="H91" s="24">
        <v>126</v>
      </c>
      <c r="I91" s="5"/>
      <c r="J91" s="3"/>
      <c r="K91" s="5" t="s">
        <v>90</v>
      </c>
    </row>
    <row r="92" spans="1:11" ht="14.25" customHeight="1" thickBot="1">
      <c r="A92" s="4">
        <v>40345</v>
      </c>
      <c r="B92" s="5" t="s">
        <v>13</v>
      </c>
      <c r="C92" s="24">
        <v>138</v>
      </c>
      <c r="D92" s="3"/>
      <c r="E92" s="3"/>
      <c r="F92" s="4">
        <v>40336</v>
      </c>
      <c r="G92" s="3"/>
      <c r="H92" s="24">
        <v>126</v>
      </c>
      <c r="I92" s="5"/>
      <c r="J92" s="3"/>
      <c r="K92" s="5" t="s">
        <v>90</v>
      </c>
    </row>
    <row r="93" spans="1:11" ht="14.25" customHeight="1" thickBot="1">
      <c r="A93" s="4">
        <v>40346</v>
      </c>
      <c r="B93" s="5" t="s">
        <v>89</v>
      </c>
      <c r="C93" s="24">
        <v>130</v>
      </c>
      <c r="D93" s="3"/>
      <c r="E93" s="3"/>
      <c r="F93" s="4">
        <v>40337</v>
      </c>
      <c r="G93" s="3"/>
      <c r="H93" s="24">
        <v>126</v>
      </c>
      <c r="I93" s="5"/>
      <c r="J93" s="3"/>
      <c r="K93" s="5" t="s">
        <v>90</v>
      </c>
    </row>
    <row r="94" spans="1:11" ht="14.25" customHeight="1" thickBot="1">
      <c r="A94" s="4">
        <v>40347</v>
      </c>
      <c r="B94" s="5" t="s">
        <v>95</v>
      </c>
      <c r="C94" s="24">
        <v>137</v>
      </c>
      <c r="D94" s="3"/>
      <c r="E94" s="3"/>
      <c r="F94" s="4">
        <v>40338</v>
      </c>
      <c r="G94" s="3"/>
      <c r="H94" s="24">
        <v>125</v>
      </c>
      <c r="I94" s="5"/>
      <c r="J94" s="3"/>
      <c r="K94" s="5" t="s">
        <v>90</v>
      </c>
    </row>
    <row r="95" spans="1:11" ht="14.25" customHeight="1" thickBot="1">
      <c r="A95" s="4">
        <v>40348</v>
      </c>
      <c r="B95" s="5" t="s">
        <v>89</v>
      </c>
      <c r="C95" s="24">
        <v>152</v>
      </c>
      <c r="D95" s="3"/>
      <c r="E95" s="3"/>
      <c r="F95" s="4">
        <v>40339</v>
      </c>
      <c r="G95" s="3"/>
      <c r="H95" s="24">
        <v>125</v>
      </c>
      <c r="I95" s="5"/>
      <c r="J95" s="3"/>
      <c r="K95" s="5" t="s">
        <v>90</v>
      </c>
    </row>
    <row r="96" spans="1:11" ht="14.25" customHeight="1" thickBot="1">
      <c r="A96" s="4">
        <v>40349</v>
      </c>
      <c r="B96" s="5" t="s">
        <v>90</v>
      </c>
      <c r="C96" s="24">
        <v>100</v>
      </c>
      <c r="D96" s="3"/>
      <c r="E96" s="3"/>
      <c r="F96" s="4">
        <v>40340</v>
      </c>
      <c r="G96" s="3"/>
      <c r="H96" s="24">
        <v>123</v>
      </c>
      <c r="I96" s="5"/>
      <c r="J96" s="3"/>
      <c r="K96" s="5" t="s">
        <v>90</v>
      </c>
    </row>
    <row r="97" spans="1:11" ht="14.25" customHeight="1" thickBot="1">
      <c r="A97" s="4">
        <v>40350</v>
      </c>
      <c r="B97" s="5" t="s">
        <v>90</v>
      </c>
      <c r="C97" s="24">
        <v>123</v>
      </c>
      <c r="D97" s="3"/>
      <c r="E97" s="3"/>
      <c r="F97" s="4">
        <v>40341</v>
      </c>
      <c r="G97" s="3"/>
      <c r="H97" s="24">
        <v>123</v>
      </c>
      <c r="I97" s="5"/>
      <c r="J97" s="3"/>
      <c r="K97" s="5" t="s">
        <v>90</v>
      </c>
    </row>
    <row r="98" spans="1:11" ht="14.25" customHeight="1" thickBot="1">
      <c r="A98" s="4">
        <v>40351</v>
      </c>
      <c r="B98" s="5" t="s">
        <v>95</v>
      </c>
      <c r="C98" s="24">
        <v>110</v>
      </c>
      <c r="D98" s="3"/>
      <c r="E98" s="3"/>
      <c r="F98" s="4">
        <v>40342</v>
      </c>
      <c r="G98" s="3"/>
      <c r="H98" s="24">
        <v>123</v>
      </c>
      <c r="I98" s="5"/>
      <c r="J98" s="3"/>
      <c r="K98" s="5" t="s">
        <v>90</v>
      </c>
    </row>
    <row r="99" spans="1:11" ht="14.25" customHeight="1" thickBot="1">
      <c r="A99" s="4">
        <v>40352</v>
      </c>
      <c r="B99" s="5" t="s">
        <v>95</v>
      </c>
      <c r="C99" s="24">
        <v>146</v>
      </c>
      <c r="D99" s="3"/>
      <c r="E99" s="3"/>
      <c r="F99" s="4">
        <v>40343</v>
      </c>
      <c r="G99" s="3"/>
      <c r="H99" s="24">
        <v>123</v>
      </c>
      <c r="I99" s="5"/>
      <c r="J99" s="3"/>
      <c r="K99" s="5" t="s">
        <v>90</v>
      </c>
    </row>
    <row r="100" spans="1:11" ht="14.25" customHeight="1" thickBot="1">
      <c r="A100" s="4">
        <v>40353</v>
      </c>
      <c r="B100" s="5" t="s">
        <v>93</v>
      </c>
      <c r="C100" s="24">
        <v>71</v>
      </c>
      <c r="D100" s="3"/>
      <c r="E100" s="3"/>
      <c r="F100" s="4">
        <v>40344</v>
      </c>
      <c r="G100" s="3"/>
      <c r="H100" s="24">
        <v>122</v>
      </c>
      <c r="I100" s="5"/>
      <c r="J100" s="3"/>
      <c r="K100" s="5" t="s">
        <v>90</v>
      </c>
    </row>
    <row r="101" spans="1:11" ht="14.25" customHeight="1" thickBot="1">
      <c r="A101" s="4">
        <v>40354</v>
      </c>
      <c r="B101" s="5" t="s">
        <v>90</v>
      </c>
      <c r="C101" s="24">
        <v>141</v>
      </c>
      <c r="D101" s="3"/>
      <c r="E101" s="3"/>
      <c r="F101" s="4">
        <v>40345</v>
      </c>
      <c r="G101" s="3"/>
      <c r="H101" s="24">
        <v>122</v>
      </c>
      <c r="I101" s="5"/>
      <c r="J101" s="3"/>
      <c r="K101" s="5" t="s">
        <v>90</v>
      </c>
    </row>
    <row r="102" spans="1:11" ht="14.25" customHeight="1" thickBot="1">
      <c r="A102" s="4">
        <v>40355</v>
      </c>
      <c r="B102" s="5" t="s">
        <v>89</v>
      </c>
      <c r="C102" s="24">
        <v>126</v>
      </c>
      <c r="D102" s="3"/>
      <c r="E102" s="3"/>
      <c r="F102" s="4">
        <v>40346</v>
      </c>
      <c r="G102" s="3"/>
      <c r="H102" s="24">
        <v>121</v>
      </c>
      <c r="I102" s="5"/>
      <c r="J102" s="3"/>
      <c r="K102" s="5" t="s">
        <v>90</v>
      </c>
    </row>
    <row r="103" spans="1:11" ht="14.25" customHeight="1" thickBot="1">
      <c r="A103" s="4">
        <v>40356</v>
      </c>
      <c r="B103" s="5" t="s">
        <v>90</v>
      </c>
      <c r="C103" s="24">
        <v>126</v>
      </c>
      <c r="D103" s="3"/>
      <c r="E103" s="3"/>
      <c r="F103" s="4">
        <v>40347</v>
      </c>
      <c r="G103" s="3"/>
      <c r="H103" s="24">
        <v>121</v>
      </c>
      <c r="I103" s="5"/>
      <c r="J103" s="3"/>
      <c r="K103" s="5" t="s">
        <v>90</v>
      </c>
    </row>
    <row r="104" spans="1:11" ht="14.25" customHeight="1" thickBot="1">
      <c r="A104" s="4">
        <v>40357</v>
      </c>
      <c r="B104" s="5" t="s">
        <v>93</v>
      </c>
      <c r="C104" s="24">
        <v>123</v>
      </c>
      <c r="D104" s="3"/>
      <c r="E104" s="3"/>
      <c r="F104" s="4">
        <v>40348</v>
      </c>
      <c r="G104" s="3"/>
      <c r="H104" s="24">
        <v>120</v>
      </c>
      <c r="I104" s="5"/>
      <c r="J104" s="3"/>
      <c r="K104" s="5" t="s">
        <v>90</v>
      </c>
    </row>
    <row r="105" spans="1:11" ht="14.25" customHeight="1" thickBot="1">
      <c r="A105" s="4">
        <v>40358</v>
      </c>
      <c r="B105" s="5" t="s">
        <v>17</v>
      </c>
      <c r="C105" s="24">
        <v>165</v>
      </c>
      <c r="D105" s="3"/>
      <c r="E105" s="3"/>
      <c r="F105" s="4">
        <v>40349</v>
      </c>
      <c r="G105" s="3"/>
      <c r="H105" s="24">
        <v>120</v>
      </c>
      <c r="I105" s="5"/>
      <c r="J105" s="3"/>
      <c r="K105" s="5" t="s">
        <v>90</v>
      </c>
    </row>
    <row r="106" spans="1:11" ht="14.25" customHeight="1" thickBot="1">
      <c r="A106" s="4">
        <v>40359</v>
      </c>
      <c r="B106" s="5" t="s">
        <v>93</v>
      </c>
      <c r="C106" s="24">
        <v>153</v>
      </c>
      <c r="D106" s="3"/>
      <c r="E106" s="3"/>
      <c r="F106" s="4">
        <v>40350</v>
      </c>
      <c r="G106" s="3"/>
      <c r="H106" s="24">
        <v>119</v>
      </c>
      <c r="I106" s="5"/>
      <c r="J106" s="3"/>
      <c r="K106" s="5" t="s">
        <v>90</v>
      </c>
    </row>
    <row r="107" spans="1:11" ht="14.25" customHeight="1" thickBot="1">
      <c r="A107" s="4">
        <v>40360</v>
      </c>
      <c r="B107" s="5" t="s">
        <v>95</v>
      </c>
      <c r="C107" s="24">
        <v>103</v>
      </c>
      <c r="D107" s="3"/>
      <c r="E107" s="3"/>
      <c r="F107" s="4">
        <v>40351</v>
      </c>
      <c r="G107" s="3"/>
      <c r="H107" s="24">
        <v>117</v>
      </c>
      <c r="I107" s="5"/>
      <c r="J107" s="3"/>
      <c r="K107" s="5" t="s">
        <v>90</v>
      </c>
    </row>
    <row r="108" spans="1:11" ht="14.25" customHeight="1" thickBot="1">
      <c r="A108" s="4">
        <v>40361</v>
      </c>
      <c r="B108" s="5" t="s">
        <v>95</v>
      </c>
      <c r="C108" s="24">
        <v>156</v>
      </c>
      <c r="D108" s="3"/>
      <c r="E108" s="3"/>
      <c r="F108" s="4">
        <v>40352</v>
      </c>
      <c r="G108" s="3"/>
      <c r="H108" s="24">
        <v>117</v>
      </c>
      <c r="I108" s="5"/>
      <c r="J108" s="3"/>
      <c r="K108" s="5" t="s">
        <v>93</v>
      </c>
    </row>
    <row r="109" spans="1:11" ht="14.25" customHeight="1" thickBot="1">
      <c r="A109" s="4">
        <v>40362</v>
      </c>
      <c r="B109" s="5" t="s">
        <v>90</v>
      </c>
      <c r="C109" s="24">
        <v>141</v>
      </c>
      <c r="D109" s="3"/>
      <c r="E109" s="3"/>
      <c r="F109" s="4">
        <v>40353</v>
      </c>
      <c r="G109" s="3"/>
      <c r="H109" s="24">
        <v>117</v>
      </c>
      <c r="I109" s="5"/>
      <c r="J109" s="3"/>
      <c r="K109" s="5" t="s">
        <v>93</v>
      </c>
    </row>
    <row r="110" spans="1:11" ht="14.25" customHeight="1" thickBot="1">
      <c r="A110" s="4">
        <v>40363</v>
      </c>
      <c r="B110" s="5" t="s">
        <v>89</v>
      </c>
      <c r="C110" s="24">
        <v>79</v>
      </c>
      <c r="D110" s="3"/>
      <c r="E110" s="3"/>
      <c r="F110" s="4">
        <v>40354</v>
      </c>
      <c r="G110" s="3"/>
      <c r="H110" s="24">
        <v>117</v>
      </c>
      <c r="I110" s="5"/>
      <c r="J110" s="3"/>
      <c r="K110" s="5" t="s">
        <v>93</v>
      </c>
    </row>
    <row r="111" spans="1:11" ht="14.25" customHeight="1" thickBot="1">
      <c r="A111" s="4">
        <v>40364</v>
      </c>
      <c r="B111" s="5" t="s">
        <v>17</v>
      </c>
      <c r="C111" s="24">
        <v>78</v>
      </c>
      <c r="D111" s="3"/>
      <c r="E111" s="3"/>
      <c r="F111" s="4">
        <v>40355</v>
      </c>
      <c r="G111" s="3"/>
      <c r="H111" s="24">
        <v>116</v>
      </c>
      <c r="I111" s="5"/>
      <c r="J111" s="3"/>
      <c r="K111" s="5" t="s">
        <v>93</v>
      </c>
    </row>
    <row r="112" spans="1:11" ht="14.25" customHeight="1" thickBot="1">
      <c r="A112" s="4">
        <v>40365</v>
      </c>
      <c r="B112" s="5" t="s">
        <v>95</v>
      </c>
      <c r="C112" s="24">
        <v>120</v>
      </c>
      <c r="D112" s="3"/>
      <c r="E112" s="3"/>
      <c r="F112" s="4">
        <v>40356</v>
      </c>
      <c r="G112" s="3"/>
      <c r="H112" s="24">
        <v>116</v>
      </c>
      <c r="I112" s="5"/>
      <c r="J112" s="3"/>
      <c r="K112" s="5" t="s">
        <v>93</v>
      </c>
    </row>
    <row r="113" spans="1:11" ht="14.25" customHeight="1" thickBot="1">
      <c r="A113" s="4">
        <v>40366</v>
      </c>
      <c r="B113" s="5" t="s">
        <v>90</v>
      </c>
      <c r="C113" s="24">
        <v>157</v>
      </c>
      <c r="D113" s="3"/>
      <c r="E113" s="3"/>
      <c r="F113" s="4">
        <v>40357</v>
      </c>
      <c r="G113" s="3"/>
      <c r="H113" s="24">
        <v>115</v>
      </c>
      <c r="I113" s="5"/>
      <c r="J113" s="3"/>
      <c r="K113" s="5" t="s">
        <v>93</v>
      </c>
    </row>
    <row r="114" spans="1:11" ht="14.25" customHeight="1" thickBot="1">
      <c r="A114" s="4">
        <v>40367</v>
      </c>
      <c r="B114" s="5" t="s">
        <v>93</v>
      </c>
      <c r="C114" s="24">
        <v>67</v>
      </c>
      <c r="D114" s="3"/>
      <c r="E114" s="3"/>
      <c r="F114" s="4">
        <v>40358</v>
      </c>
      <c r="G114" s="3"/>
      <c r="H114" s="24">
        <v>114</v>
      </c>
      <c r="I114" s="5"/>
      <c r="J114" s="3"/>
      <c r="K114" s="5" t="s">
        <v>93</v>
      </c>
    </row>
    <row r="115" spans="1:11" ht="14.25" customHeight="1" thickBot="1">
      <c r="A115" s="4">
        <v>40368</v>
      </c>
      <c r="B115" s="5" t="s">
        <v>95</v>
      </c>
      <c r="C115" s="24">
        <v>170</v>
      </c>
      <c r="D115" s="3"/>
      <c r="E115" s="3"/>
      <c r="F115" s="4">
        <v>40359</v>
      </c>
      <c r="G115" s="3"/>
      <c r="H115" s="24">
        <v>114</v>
      </c>
      <c r="I115" s="5"/>
      <c r="J115" s="3"/>
      <c r="K115" s="5" t="s">
        <v>93</v>
      </c>
    </row>
    <row r="116" spans="1:11" ht="14.25" customHeight="1" thickBot="1">
      <c r="A116" s="4">
        <v>40369</v>
      </c>
      <c r="B116" s="5" t="s">
        <v>89</v>
      </c>
      <c r="C116" s="24">
        <v>92</v>
      </c>
      <c r="D116" s="3"/>
      <c r="E116" s="3"/>
      <c r="F116" s="4">
        <v>40360</v>
      </c>
      <c r="G116" s="3"/>
      <c r="H116" s="24">
        <v>113</v>
      </c>
      <c r="I116" s="5"/>
      <c r="J116" s="3"/>
      <c r="K116" s="5" t="s">
        <v>93</v>
      </c>
    </row>
    <row r="117" spans="1:11" ht="14.25" customHeight="1" thickBot="1">
      <c r="A117" s="4">
        <v>40370</v>
      </c>
      <c r="B117" s="5" t="s">
        <v>90</v>
      </c>
      <c r="C117" s="24">
        <v>104</v>
      </c>
      <c r="D117" s="3"/>
      <c r="E117" s="3"/>
      <c r="F117" s="4">
        <v>40361</v>
      </c>
      <c r="G117" s="3"/>
      <c r="H117" s="24">
        <v>113</v>
      </c>
      <c r="I117" s="5"/>
      <c r="J117" s="3"/>
      <c r="K117" s="5" t="s">
        <v>93</v>
      </c>
    </row>
    <row r="118" spans="1:11" ht="14.25" customHeight="1" thickBot="1">
      <c r="A118" s="4">
        <v>40371</v>
      </c>
      <c r="B118" s="5" t="s">
        <v>90</v>
      </c>
      <c r="C118" s="24">
        <v>141</v>
      </c>
      <c r="D118" s="3"/>
      <c r="E118" s="3"/>
      <c r="F118" s="4">
        <v>40362</v>
      </c>
      <c r="G118" s="3"/>
      <c r="H118" s="24">
        <v>111</v>
      </c>
      <c r="I118" s="5"/>
      <c r="J118" s="3"/>
      <c r="K118" s="5" t="s">
        <v>93</v>
      </c>
    </row>
    <row r="119" spans="1:11" ht="14.25" customHeight="1" thickBot="1">
      <c r="A119" s="4">
        <v>40372</v>
      </c>
      <c r="B119" s="5" t="s">
        <v>17</v>
      </c>
      <c r="C119" s="24">
        <v>153</v>
      </c>
      <c r="D119" s="3"/>
      <c r="E119" s="3"/>
      <c r="F119" s="4">
        <v>40363</v>
      </c>
      <c r="G119" s="3"/>
      <c r="H119" s="24">
        <v>110</v>
      </c>
      <c r="I119" s="5"/>
      <c r="J119" s="3"/>
      <c r="K119" s="5" t="s">
        <v>93</v>
      </c>
    </row>
    <row r="120" spans="1:11" ht="14.25" customHeight="1" thickBot="1">
      <c r="A120" s="4">
        <v>40373</v>
      </c>
      <c r="B120" s="5" t="s">
        <v>89</v>
      </c>
      <c r="C120" s="24">
        <v>100</v>
      </c>
      <c r="D120" s="3"/>
      <c r="E120" s="3"/>
      <c r="F120" s="4">
        <v>40364</v>
      </c>
      <c r="G120" s="3"/>
      <c r="H120" s="24">
        <v>110</v>
      </c>
      <c r="I120" s="5"/>
      <c r="J120" s="3"/>
      <c r="K120" s="5" t="s">
        <v>93</v>
      </c>
    </row>
    <row r="121" spans="1:11" ht="14.25" customHeight="1" thickBot="1">
      <c r="A121" s="4">
        <v>40374</v>
      </c>
      <c r="B121" s="5" t="s">
        <v>95</v>
      </c>
      <c r="C121" s="24">
        <v>56</v>
      </c>
      <c r="D121" s="3"/>
      <c r="E121" s="3"/>
      <c r="F121" s="4">
        <v>40365</v>
      </c>
      <c r="G121" s="3"/>
      <c r="H121" s="24">
        <v>110</v>
      </c>
      <c r="I121" s="5"/>
      <c r="J121" s="3"/>
      <c r="K121" s="5" t="s">
        <v>93</v>
      </c>
    </row>
    <row r="122" spans="1:11" ht="14.25" customHeight="1" thickBot="1">
      <c r="A122" s="4">
        <v>40375</v>
      </c>
      <c r="B122" s="5" t="s">
        <v>13</v>
      </c>
      <c r="C122" s="24">
        <v>76</v>
      </c>
      <c r="D122" s="3"/>
      <c r="E122" s="3"/>
      <c r="F122" s="4">
        <v>40366</v>
      </c>
      <c r="G122" s="3"/>
      <c r="H122" s="24">
        <v>109</v>
      </c>
      <c r="I122" s="5"/>
      <c r="J122" s="3"/>
      <c r="K122" s="5" t="s">
        <v>93</v>
      </c>
    </row>
    <row r="123" spans="1:11" ht="14.25" customHeight="1" thickBot="1">
      <c r="A123" s="4">
        <v>40376</v>
      </c>
      <c r="B123" s="5" t="s">
        <v>90</v>
      </c>
      <c r="C123" s="24">
        <v>113</v>
      </c>
      <c r="D123" s="3"/>
      <c r="E123" s="3"/>
      <c r="F123" s="4">
        <v>40367</v>
      </c>
      <c r="G123" s="3"/>
      <c r="H123" s="24">
        <v>109</v>
      </c>
      <c r="I123" s="5"/>
      <c r="J123" s="3"/>
      <c r="K123" s="5" t="s">
        <v>93</v>
      </c>
    </row>
    <row r="124" spans="1:11" ht="14.25" customHeight="1" thickBot="1">
      <c r="A124" s="4">
        <v>40377</v>
      </c>
      <c r="B124" s="5" t="s">
        <v>93</v>
      </c>
      <c r="C124" s="24">
        <v>117</v>
      </c>
      <c r="D124" s="3"/>
      <c r="E124" s="3"/>
      <c r="F124" s="4">
        <v>40368</v>
      </c>
      <c r="G124" s="3"/>
      <c r="H124" s="24">
        <v>109</v>
      </c>
      <c r="I124" s="5"/>
      <c r="J124" s="3"/>
      <c r="K124" s="5" t="s">
        <v>93</v>
      </c>
    </row>
    <row r="125" spans="1:11" ht="14.25" customHeight="1" thickBot="1">
      <c r="A125" s="4">
        <v>40378</v>
      </c>
      <c r="B125" s="5" t="s">
        <v>17</v>
      </c>
      <c r="C125" s="24">
        <v>78</v>
      </c>
      <c r="D125" s="3"/>
      <c r="E125" s="3"/>
      <c r="F125" s="4">
        <v>40369</v>
      </c>
      <c r="G125" s="3"/>
      <c r="H125" s="24">
        <v>109</v>
      </c>
      <c r="I125" s="5"/>
      <c r="J125" s="3"/>
      <c r="K125" s="5" t="s">
        <v>93</v>
      </c>
    </row>
    <row r="126" spans="1:11" ht="14.25" customHeight="1" thickBot="1">
      <c r="A126" s="4">
        <v>40379</v>
      </c>
      <c r="B126" s="5" t="s">
        <v>95</v>
      </c>
      <c r="C126" s="24">
        <v>88</v>
      </c>
      <c r="D126" s="3"/>
      <c r="E126" s="3"/>
      <c r="F126" s="4">
        <v>40370</v>
      </c>
      <c r="G126" s="3"/>
      <c r="H126" s="24">
        <v>108</v>
      </c>
      <c r="I126" s="5"/>
      <c r="J126" s="3"/>
      <c r="K126" s="5" t="s">
        <v>93</v>
      </c>
    </row>
    <row r="127" spans="1:11" ht="14.25" customHeight="1" thickBot="1">
      <c r="A127" s="4">
        <v>40380</v>
      </c>
      <c r="B127" s="5" t="s">
        <v>95</v>
      </c>
      <c r="C127" s="24">
        <v>168</v>
      </c>
      <c r="D127" s="3"/>
      <c r="E127" s="3"/>
      <c r="F127" s="4">
        <v>40371</v>
      </c>
      <c r="G127" s="3"/>
      <c r="H127" s="24">
        <v>108</v>
      </c>
      <c r="I127" s="5"/>
      <c r="J127" s="3"/>
      <c r="K127" s="5" t="s">
        <v>93</v>
      </c>
    </row>
    <row r="128" spans="1:11" ht="14.25" customHeight="1" thickBot="1">
      <c r="A128" s="4">
        <v>40381</v>
      </c>
      <c r="B128" s="5" t="s">
        <v>93</v>
      </c>
      <c r="C128" s="24">
        <v>159</v>
      </c>
      <c r="D128" s="3"/>
      <c r="E128" s="3"/>
      <c r="F128" s="4">
        <v>40372</v>
      </c>
      <c r="G128" s="3"/>
      <c r="H128" s="24">
        <v>108</v>
      </c>
      <c r="I128" s="5"/>
      <c r="J128" s="3"/>
      <c r="K128" s="5" t="s">
        <v>93</v>
      </c>
    </row>
    <row r="129" spans="1:11" ht="14.25" customHeight="1" thickBot="1">
      <c r="A129" s="4">
        <v>40382</v>
      </c>
      <c r="B129" s="5" t="s">
        <v>17</v>
      </c>
      <c r="C129" s="24">
        <v>98</v>
      </c>
      <c r="D129" s="3"/>
      <c r="E129" s="3"/>
      <c r="F129" s="4">
        <v>40373</v>
      </c>
      <c r="G129" s="3"/>
      <c r="H129" s="24">
        <v>107</v>
      </c>
      <c r="I129" s="5"/>
      <c r="J129" s="3"/>
      <c r="K129" s="5" t="s">
        <v>93</v>
      </c>
    </row>
    <row r="130" spans="1:11" ht="14.25" customHeight="1" thickBot="1">
      <c r="A130" s="4">
        <v>40383</v>
      </c>
      <c r="B130" s="5" t="s">
        <v>90</v>
      </c>
      <c r="C130" s="24">
        <v>130</v>
      </c>
      <c r="D130" s="3"/>
      <c r="E130" s="3"/>
      <c r="F130" s="4">
        <v>40374</v>
      </c>
      <c r="G130" s="3"/>
      <c r="H130" s="24">
        <v>107</v>
      </c>
      <c r="I130" s="5"/>
      <c r="J130" s="3"/>
      <c r="K130" s="5" t="s">
        <v>93</v>
      </c>
    </row>
    <row r="131" spans="1:11" ht="14.25" customHeight="1" thickBot="1">
      <c r="A131" s="4">
        <v>40384</v>
      </c>
      <c r="B131" s="5" t="s">
        <v>17</v>
      </c>
      <c r="C131" s="24">
        <v>136</v>
      </c>
      <c r="D131" s="3"/>
      <c r="E131" s="3"/>
      <c r="F131" s="4">
        <v>40375</v>
      </c>
      <c r="G131" s="3"/>
      <c r="H131" s="24">
        <v>106</v>
      </c>
      <c r="I131" s="5"/>
      <c r="J131" s="3"/>
      <c r="K131" s="5" t="s">
        <v>93</v>
      </c>
    </row>
    <row r="132" spans="1:11" ht="14.25" customHeight="1" thickBot="1">
      <c r="A132" s="4">
        <v>40385</v>
      </c>
      <c r="B132" s="5" t="s">
        <v>93</v>
      </c>
      <c r="C132" s="24">
        <v>56</v>
      </c>
      <c r="D132" s="3"/>
      <c r="E132" s="3"/>
      <c r="F132" s="4">
        <v>40376</v>
      </c>
      <c r="G132" s="3"/>
      <c r="H132" s="24">
        <v>104</v>
      </c>
      <c r="I132" s="5"/>
      <c r="J132" s="3"/>
      <c r="K132" s="5" t="s">
        <v>93</v>
      </c>
    </row>
    <row r="133" spans="1:11" ht="14.25" customHeight="1" thickBot="1">
      <c r="A133" s="4">
        <v>40386</v>
      </c>
      <c r="B133" s="5" t="s">
        <v>93</v>
      </c>
      <c r="C133" s="24">
        <v>130</v>
      </c>
      <c r="D133" s="3"/>
      <c r="E133" s="3"/>
      <c r="F133" s="4">
        <v>40377</v>
      </c>
      <c r="G133" s="3"/>
      <c r="H133" s="24">
        <v>104</v>
      </c>
      <c r="I133" s="5"/>
      <c r="J133" s="3"/>
      <c r="K133" s="5" t="s">
        <v>93</v>
      </c>
    </row>
    <row r="134" spans="1:11" ht="14.25" customHeight="1" thickBot="1">
      <c r="A134" s="4">
        <v>40387</v>
      </c>
      <c r="B134" s="5" t="s">
        <v>90</v>
      </c>
      <c r="C134" s="24">
        <v>53</v>
      </c>
      <c r="D134" s="3"/>
      <c r="E134" s="3"/>
      <c r="F134" s="4">
        <v>40378</v>
      </c>
      <c r="G134" s="3"/>
      <c r="H134" s="24">
        <v>103</v>
      </c>
      <c r="I134" s="5"/>
      <c r="J134" s="3"/>
      <c r="K134" s="5" t="s">
        <v>93</v>
      </c>
    </row>
    <row r="135" spans="1:11" ht="14.25" customHeight="1" thickBot="1">
      <c r="A135" s="4">
        <v>40388</v>
      </c>
      <c r="B135" s="5" t="s">
        <v>95</v>
      </c>
      <c r="C135" s="24">
        <v>160</v>
      </c>
      <c r="D135" s="3"/>
      <c r="E135" s="3"/>
      <c r="F135" s="4">
        <v>40379</v>
      </c>
      <c r="G135" s="3"/>
      <c r="H135" s="24">
        <v>103</v>
      </c>
      <c r="I135" s="5"/>
      <c r="J135" s="3"/>
      <c r="K135" s="5" t="s">
        <v>93</v>
      </c>
    </row>
    <row r="136" spans="1:11" ht="14.25" customHeight="1" thickBot="1">
      <c r="A136" s="4">
        <v>40389</v>
      </c>
      <c r="B136" s="5" t="s">
        <v>17</v>
      </c>
      <c r="C136" s="24">
        <v>113</v>
      </c>
      <c r="D136" s="3"/>
      <c r="E136" s="3"/>
      <c r="F136" s="4">
        <v>40380</v>
      </c>
      <c r="G136" s="3"/>
      <c r="H136" s="24">
        <v>100</v>
      </c>
      <c r="I136" s="5"/>
      <c r="J136" s="3"/>
      <c r="K136" s="5" t="s">
        <v>93</v>
      </c>
    </row>
    <row r="137" spans="1:11" ht="14.25" customHeight="1" thickBot="1">
      <c r="A137" s="4">
        <v>40390</v>
      </c>
      <c r="B137" s="5" t="s">
        <v>13</v>
      </c>
      <c r="C137" s="24">
        <v>123</v>
      </c>
      <c r="D137" s="3"/>
      <c r="E137" s="3"/>
      <c r="F137" s="4">
        <v>40381</v>
      </c>
      <c r="G137" s="3"/>
      <c r="H137" s="24">
        <v>100</v>
      </c>
      <c r="I137" s="5"/>
      <c r="J137" s="3"/>
      <c r="K137" s="5" t="s">
        <v>93</v>
      </c>
    </row>
    <row r="138" spans="1:11" ht="14.25" customHeight="1" thickBot="1">
      <c r="A138" s="4">
        <v>40391</v>
      </c>
      <c r="B138" s="5" t="s">
        <v>17</v>
      </c>
      <c r="C138" s="24">
        <v>60</v>
      </c>
      <c r="D138" s="3"/>
      <c r="E138" s="3"/>
      <c r="F138" s="4">
        <v>40382</v>
      </c>
      <c r="G138" s="3"/>
      <c r="H138" s="24">
        <v>99</v>
      </c>
      <c r="I138" s="5"/>
      <c r="J138" s="3"/>
      <c r="K138" s="5" t="s">
        <v>93</v>
      </c>
    </row>
    <row r="139" spans="1:11" ht="14.25" customHeight="1" thickBot="1">
      <c r="A139" s="4">
        <v>40392</v>
      </c>
      <c r="B139" s="5" t="s">
        <v>13</v>
      </c>
      <c r="C139" s="24">
        <v>73</v>
      </c>
      <c r="D139" s="3"/>
      <c r="E139" s="3"/>
      <c r="F139" s="4">
        <v>40383</v>
      </c>
      <c r="G139" s="3"/>
      <c r="H139" s="24">
        <v>99</v>
      </c>
      <c r="I139" s="5"/>
      <c r="J139" s="3"/>
      <c r="K139" s="5" t="s">
        <v>93</v>
      </c>
    </row>
    <row r="140" spans="1:11" ht="14.25" customHeight="1" thickBot="1">
      <c r="A140" s="4">
        <v>40393</v>
      </c>
      <c r="B140" s="5" t="s">
        <v>95</v>
      </c>
      <c r="C140" s="24">
        <v>167</v>
      </c>
      <c r="D140" s="3"/>
      <c r="E140" s="3"/>
      <c r="F140" s="4">
        <v>40384</v>
      </c>
      <c r="G140" s="3"/>
      <c r="H140" s="24">
        <v>98</v>
      </c>
      <c r="I140" s="5"/>
      <c r="J140" s="3"/>
      <c r="K140" s="5" t="s">
        <v>93</v>
      </c>
    </row>
    <row r="141" spans="1:11" ht="14.25" customHeight="1" thickBot="1">
      <c r="A141" s="4">
        <v>40394</v>
      </c>
      <c r="B141" s="5" t="s">
        <v>13</v>
      </c>
      <c r="C141" s="24">
        <v>114</v>
      </c>
      <c r="D141" s="3"/>
      <c r="E141" s="3"/>
      <c r="F141" s="4">
        <v>40385</v>
      </c>
      <c r="G141" s="3"/>
      <c r="H141" s="24">
        <v>98</v>
      </c>
      <c r="I141" s="5"/>
      <c r="J141" s="3"/>
      <c r="K141" s="5" t="s">
        <v>93</v>
      </c>
    </row>
    <row r="142" spans="1:11" ht="14.25" customHeight="1" thickBot="1">
      <c r="A142" s="4">
        <v>40395</v>
      </c>
      <c r="B142" s="5" t="s">
        <v>95</v>
      </c>
      <c r="C142" s="24">
        <v>148</v>
      </c>
      <c r="D142" s="3"/>
      <c r="E142" s="3"/>
      <c r="F142" s="4">
        <v>40386</v>
      </c>
      <c r="G142" s="3"/>
      <c r="H142" s="24">
        <v>97</v>
      </c>
      <c r="I142" s="5"/>
      <c r="J142" s="3"/>
      <c r="K142" s="5" t="s">
        <v>93</v>
      </c>
    </row>
    <row r="143" spans="1:11" ht="14.25" customHeight="1" thickBot="1">
      <c r="A143" s="4">
        <v>40396</v>
      </c>
      <c r="B143" s="5" t="s">
        <v>90</v>
      </c>
      <c r="C143" s="24">
        <v>81</v>
      </c>
      <c r="D143" s="3"/>
      <c r="E143" s="3"/>
      <c r="F143" s="4">
        <v>40387</v>
      </c>
      <c r="G143" s="3"/>
      <c r="H143" s="24">
        <v>96</v>
      </c>
      <c r="I143" s="5"/>
      <c r="J143" s="3"/>
      <c r="K143" s="5" t="s">
        <v>93</v>
      </c>
    </row>
    <row r="144" spans="1:11" ht="14.25" customHeight="1" thickBot="1">
      <c r="A144" s="4">
        <v>40397</v>
      </c>
      <c r="B144" s="5" t="s">
        <v>90</v>
      </c>
      <c r="C144" s="24">
        <v>79</v>
      </c>
      <c r="D144" s="3"/>
      <c r="E144" s="3"/>
      <c r="F144" s="4">
        <v>40388</v>
      </c>
      <c r="G144" s="3"/>
      <c r="H144" s="24">
        <v>96</v>
      </c>
      <c r="I144" s="5"/>
      <c r="J144" s="3"/>
      <c r="K144" s="5" t="s">
        <v>93</v>
      </c>
    </row>
    <row r="145" spans="1:11" ht="14.25" customHeight="1" thickBot="1">
      <c r="A145" s="4">
        <v>40398</v>
      </c>
      <c r="B145" s="5" t="s">
        <v>90</v>
      </c>
      <c r="C145" s="24">
        <v>76</v>
      </c>
      <c r="D145" s="3"/>
      <c r="E145" s="3"/>
      <c r="F145" s="4">
        <v>40389</v>
      </c>
      <c r="G145" s="3"/>
      <c r="H145" s="24">
        <v>95</v>
      </c>
      <c r="I145" s="5"/>
      <c r="J145" s="3"/>
      <c r="K145" s="5" t="s">
        <v>93</v>
      </c>
    </row>
    <row r="146" spans="1:11" ht="14.25" customHeight="1" thickBot="1">
      <c r="A146" s="4">
        <v>40399</v>
      </c>
      <c r="B146" s="5" t="s">
        <v>93</v>
      </c>
      <c r="C146" s="24">
        <v>166</v>
      </c>
      <c r="D146" s="3"/>
      <c r="E146" s="3"/>
      <c r="F146" s="4">
        <v>40390</v>
      </c>
      <c r="G146" s="3"/>
      <c r="H146" s="24">
        <v>95</v>
      </c>
      <c r="I146" s="5"/>
      <c r="J146" s="3"/>
      <c r="K146" s="5" t="s">
        <v>93</v>
      </c>
    </row>
    <row r="147" spans="1:11" ht="14.25" customHeight="1" thickBot="1">
      <c r="A147" s="4">
        <v>40400</v>
      </c>
      <c r="B147" s="5" t="s">
        <v>90</v>
      </c>
      <c r="C147" s="24">
        <v>106</v>
      </c>
      <c r="D147" s="3"/>
      <c r="E147" s="3"/>
      <c r="F147" s="4">
        <v>40391</v>
      </c>
      <c r="G147" s="3"/>
      <c r="H147" s="24">
        <v>94</v>
      </c>
      <c r="I147" s="5"/>
      <c r="J147" s="3"/>
      <c r="K147" s="5" t="s">
        <v>93</v>
      </c>
    </row>
    <row r="148" spans="1:11" ht="14.25" customHeight="1" thickBot="1">
      <c r="A148" s="4">
        <v>40401</v>
      </c>
      <c r="B148" s="5" t="s">
        <v>95</v>
      </c>
      <c r="C148" s="24">
        <v>74</v>
      </c>
      <c r="D148" s="3"/>
      <c r="E148" s="3"/>
      <c r="F148" s="4">
        <v>40392</v>
      </c>
      <c r="G148" s="3"/>
      <c r="H148" s="24">
        <v>92</v>
      </c>
      <c r="I148" s="5"/>
      <c r="J148" s="3"/>
      <c r="K148" s="5" t="s">
        <v>13</v>
      </c>
    </row>
    <row r="149" spans="1:11" ht="14.25" customHeight="1" thickBot="1">
      <c r="A149" s="4">
        <v>40402</v>
      </c>
      <c r="B149" s="5" t="s">
        <v>13</v>
      </c>
      <c r="C149" s="24">
        <v>95</v>
      </c>
      <c r="D149" s="3"/>
      <c r="E149" s="3"/>
      <c r="F149" s="4">
        <v>40393</v>
      </c>
      <c r="G149" s="3"/>
      <c r="H149" s="24">
        <v>91</v>
      </c>
      <c r="I149" s="5"/>
      <c r="J149" s="3"/>
      <c r="K149" s="5" t="s">
        <v>13</v>
      </c>
    </row>
    <row r="150" spans="1:11" ht="14.25" customHeight="1" thickBot="1">
      <c r="A150" s="4">
        <v>40403</v>
      </c>
      <c r="B150" s="5" t="s">
        <v>93</v>
      </c>
      <c r="C150" s="24">
        <v>151</v>
      </c>
      <c r="D150" s="3"/>
      <c r="E150" s="3"/>
      <c r="F150" s="4">
        <v>40394</v>
      </c>
      <c r="G150" s="3"/>
      <c r="H150" s="24">
        <v>88</v>
      </c>
      <c r="I150" s="5"/>
      <c r="J150" s="3"/>
      <c r="K150" s="5" t="s">
        <v>13</v>
      </c>
    </row>
    <row r="151" spans="1:11" ht="14.25" customHeight="1" thickBot="1">
      <c r="A151" s="4">
        <v>40404</v>
      </c>
      <c r="B151" s="5" t="s">
        <v>89</v>
      </c>
      <c r="C151" s="24">
        <v>117</v>
      </c>
      <c r="D151" s="3"/>
      <c r="E151" s="3"/>
      <c r="F151" s="4">
        <v>40395</v>
      </c>
      <c r="G151" s="3"/>
      <c r="H151" s="24">
        <v>88</v>
      </c>
      <c r="I151" s="5"/>
      <c r="J151" s="3"/>
      <c r="K151" s="5" t="s">
        <v>13</v>
      </c>
    </row>
    <row r="152" spans="1:11" ht="14.25" customHeight="1" thickBot="1">
      <c r="A152" s="4">
        <v>40405</v>
      </c>
      <c r="B152" s="5" t="s">
        <v>95</v>
      </c>
      <c r="C152" s="24">
        <v>143</v>
      </c>
      <c r="D152" s="3"/>
      <c r="E152" s="3"/>
      <c r="F152" s="4">
        <v>40396</v>
      </c>
      <c r="G152" s="3"/>
      <c r="H152" s="24">
        <v>88</v>
      </c>
      <c r="I152" s="5"/>
      <c r="J152" s="3"/>
      <c r="K152" s="5" t="s">
        <v>13</v>
      </c>
    </row>
    <row r="153" spans="1:11" ht="14.25" customHeight="1" thickBot="1">
      <c r="A153" s="4">
        <v>40406</v>
      </c>
      <c r="B153" s="5" t="s">
        <v>90</v>
      </c>
      <c r="C153" s="24">
        <v>122</v>
      </c>
      <c r="D153" s="3"/>
      <c r="E153" s="3"/>
      <c r="F153" s="4">
        <v>40397</v>
      </c>
      <c r="G153" s="3"/>
      <c r="H153" s="24">
        <v>87</v>
      </c>
      <c r="I153" s="5"/>
      <c r="J153" s="3"/>
      <c r="K153" s="5" t="s">
        <v>13</v>
      </c>
    </row>
    <row r="154" spans="1:11" ht="14.25" customHeight="1" thickBot="1">
      <c r="A154" s="4">
        <v>40407</v>
      </c>
      <c r="B154" s="5" t="s">
        <v>89</v>
      </c>
      <c r="C154" s="24">
        <v>76</v>
      </c>
      <c r="D154" s="3"/>
      <c r="E154" s="3"/>
      <c r="F154" s="4">
        <v>40398</v>
      </c>
      <c r="G154" s="3"/>
      <c r="H154" s="24">
        <v>86</v>
      </c>
      <c r="I154" s="5"/>
      <c r="J154" s="3"/>
      <c r="K154" s="5" t="s">
        <v>13</v>
      </c>
    </row>
    <row r="155" spans="1:11" ht="14.25" customHeight="1" thickBot="1">
      <c r="A155" s="4">
        <v>40408</v>
      </c>
      <c r="B155" s="5" t="s">
        <v>93</v>
      </c>
      <c r="C155" s="24">
        <v>145</v>
      </c>
      <c r="D155" s="3"/>
      <c r="E155" s="3"/>
      <c r="F155" s="4">
        <v>40399</v>
      </c>
      <c r="G155" s="3"/>
      <c r="H155" s="24">
        <v>86</v>
      </c>
      <c r="I155" s="5"/>
      <c r="J155" s="3"/>
      <c r="K155" s="5" t="s">
        <v>13</v>
      </c>
    </row>
    <row r="156" spans="1:11" ht="14.25" customHeight="1" thickBot="1">
      <c r="A156" s="4">
        <v>40409</v>
      </c>
      <c r="B156" s="5" t="s">
        <v>93</v>
      </c>
      <c r="C156" s="24">
        <v>123</v>
      </c>
      <c r="D156" s="3"/>
      <c r="E156" s="3"/>
      <c r="F156" s="4">
        <v>40400</v>
      </c>
      <c r="G156" s="3"/>
      <c r="H156" s="24">
        <v>84</v>
      </c>
      <c r="I156" s="5"/>
      <c r="J156" s="3"/>
      <c r="K156" s="5" t="s">
        <v>13</v>
      </c>
    </row>
    <row r="157" spans="1:11" ht="14.25" customHeight="1" thickBot="1">
      <c r="A157" s="4">
        <v>40410</v>
      </c>
      <c r="B157" s="5" t="s">
        <v>90</v>
      </c>
      <c r="C157" s="24">
        <v>116</v>
      </c>
      <c r="D157" s="3"/>
      <c r="E157" s="3"/>
      <c r="F157" s="4">
        <v>40401</v>
      </c>
      <c r="G157" s="3"/>
      <c r="H157" s="24">
        <v>84</v>
      </c>
      <c r="I157" s="5"/>
      <c r="J157" s="3"/>
      <c r="K157" s="5" t="s">
        <v>13</v>
      </c>
    </row>
    <row r="158" spans="1:11" ht="14.25" customHeight="1" thickBot="1">
      <c r="A158" s="4">
        <v>40411</v>
      </c>
      <c r="B158" s="5" t="s">
        <v>95</v>
      </c>
      <c r="C158" s="24">
        <v>91</v>
      </c>
      <c r="D158" s="3"/>
      <c r="E158" s="3"/>
      <c r="F158" s="4">
        <v>40402</v>
      </c>
      <c r="G158" s="3"/>
      <c r="H158" s="24">
        <v>81</v>
      </c>
      <c r="I158" s="5"/>
      <c r="J158" s="3"/>
      <c r="K158" s="5" t="s">
        <v>13</v>
      </c>
    </row>
    <row r="159" spans="1:11" ht="14.25" customHeight="1" thickBot="1">
      <c r="A159" s="4">
        <v>40412</v>
      </c>
      <c r="B159" s="5" t="s">
        <v>95</v>
      </c>
      <c r="C159" s="24">
        <v>117</v>
      </c>
      <c r="D159" s="3"/>
      <c r="E159" s="3"/>
      <c r="F159" s="4">
        <v>40403</v>
      </c>
      <c r="G159" s="3"/>
      <c r="H159" s="24">
        <v>81</v>
      </c>
      <c r="I159" s="5"/>
      <c r="J159" s="3"/>
      <c r="K159" s="5" t="s">
        <v>13</v>
      </c>
    </row>
    <row r="160" spans="1:11" ht="14.25" customHeight="1" thickBot="1">
      <c r="A160" s="4">
        <v>40413</v>
      </c>
      <c r="B160" s="5" t="s">
        <v>93</v>
      </c>
      <c r="C160" s="24">
        <v>170</v>
      </c>
      <c r="D160" s="3"/>
      <c r="E160" s="3"/>
      <c r="F160" s="4">
        <v>40404</v>
      </c>
      <c r="G160" s="3"/>
      <c r="H160" s="24">
        <v>80</v>
      </c>
      <c r="I160" s="5"/>
      <c r="J160" s="3"/>
      <c r="K160" s="5" t="s">
        <v>13</v>
      </c>
    </row>
    <row r="161" spans="1:11" ht="14.25" customHeight="1" thickBot="1">
      <c r="A161" s="4">
        <v>40414</v>
      </c>
      <c r="B161" s="5" t="s">
        <v>89</v>
      </c>
      <c r="C161" s="24">
        <v>141</v>
      </c>
      <c r="D161" s="3"/>
      <c r="E161" s="3"/>
      <c r="F161" s="4">
        <v>40405</v>
      </c>
      <c r="G161" s="3"/>
      <c r="H161" s="24">
        <v>79</v>
      </c>
      <c r="I161" s="5"/>
      <c r="J161" s="3"/>
      <c r="K161" s="5" t="s">
        <v>13</v>
      </c>
    </row>
    <row r="162" spans="1:11" ht="14.25" customHeight="1" thickBot="1">
      <c r="A162" s="4">
        <v>40415</v>
      </c>
      <c r="B162" s="5" t="s">
        <v>95</v>
      </c>
      <c r="C162" s="24">
        <v>54</v>
      </c>
      <c r="D162" s="3"/>
      <c r="E162" s="3"/>
      <c r="F162" s="4">
        <v>40406</v>
      </c>
      <c r="G162" s="3"/>
      <c r="H162" s="24">
        <v>79</v>
      </c>
      <c r="I162" s="5"/>
      <c r="J162" s="3"/>
      <c r="K162" s="5" t="s">
        <v>13</v>
      </c>
    </row>
    <row r="163" spans="1:11" ht="14.25" customHeight="1" thickBot="1">
      <c r="A163" s="4">
        <v>40416</v>
      </c>
      <c r="B163" s="5" t="s">
        <v>90</v>
      </c>
      <c r="C163" s="24">
        <v>95</v>
      </c>
      <c r="D163" s="3"/>
      <c r="E163" s="3"/>
      <c r="F163" s="4">
        <v>40407</v>
      </c>
      <c r="G163" s="3"/>
      <c r="H163" s="24">
        <v>78</v>
      </c>
      <c r="I163" s="5"/>
      <c r="J163" s="3"/>
      <c r="K163" s="5" t="s">
        <v>13</v>
      </c>
    </row>
    <row r="164" spans="1:11" ht="14.25" customHeight="1" thickBot="1">
      <c r="A164" s="4">
        <v>40417</v>
      </c>
      <c r="B164" s="5" t="s">
        <v>13</v>
      </c>
      <c r="C164" s="24">
        <v>57</v>
      </c>
      <c r="D164" s="3"/>
      <c r="E164" s="3"/>
      <c r="F164" s="4">
        <v>40408</v>
      </c>
      <c r="G164" s="3"/>
      <c r="H164" s="24">
        <v>78</v>
      </c>
      <c r="I164" s="5"/>
      <c r="J164" s="3"/>
      <c r="K164" s="5" t="s">
        <v>13</v>
      </c>
    </row>
    <row r="165" spans="1:11" ht="14.25" customHeight="1" thickBot="1">
      <c r="A165" s="4">
        <v>40418</v>
      </c>
      <c r="B165" s="5" t="s">
        <v>95</v>
      </c>
      <c r="C165" s="24">
        <v>133</v>
      </c>
      <c r="D165" s="3"/>
      <c r="E165" s="3"/>
      <c r="F165" s="4">
        <v>40409</v>
      </c>
      <c r="G165" s="3"/>
      <c r="H165" s="24">
        <v>78</v>
      </c>
      <c r="I165" s="5"/>
      <c r="J165" s="3"/>
      <c r="K165" s="5" t="s">
        <v>13</v>
      </c>
    </row>
    <row r="166" spans="1:11" ht="14.25" customHeight="1" thickBot="1">
      <c r="A166" s="4">
        <v>40419</v>
      </c>
      <c r="B166" s="5" t="s">
        <v>90</v>
      </c>
      <c r="C166" s="24">
        <v>147</v>
      </c>
      <c r="D166" s="3"/>
      <c r="E166" s="3"/>
      <c r="F166" s="4">
        <v>40410</v>
      </c>
      <c r="G166" s="3"/>
      <c r="H166" s="24">
        <v>77</v>
      </c>
      <c r="I166" s="5"/>
      <c r="J166" s="3"/>
      <c r="K166" s="5" t="s">
        <v>13</v>
      </c>
    </row>
    <row r="167" spans="1:11" ht="14.25" customHeight="1" thickBot="1">
      <c r="A167" s="4">
        <v>40420</v>
      </c>
      <c r="B167" s="5" t="s">
        <v>17</v>
      </c>
      <c r="C167" s="24">
        <v>84</v>
      </c>
      <c r="D167" s="3"/>
      <c r="E167" s="3"/>
      <c r="F167" s="4">
        <v>40411</v>
      </c>
      <c r="G167" s="3"/>
      <c r="H167" s="24">
        <v>76</v>
      </c>
      <c r="I167" s="5"/>
      <c r="J167" s="3"/>
      <c r="K167" s="5" t="s">
        <v>13</v>
      </c>
    </row>
    <row r="168" spans="1:11" ht="14.25" customHeight="1" thickBot="1">
      <c r="A168" s="4">
        <v>40421</v>
      </c>
      <c r="B168" s="5" t="s">
        <v>95</v>
      </c>
      <c r="C168" s="24">
        <v>147</v>
      </c>
      <c r="D168" s="3"/>
      <c r="E168" s="3"/>
      <c r="F168" s="4">
        <v>40412</v>
      </c>
      <c r="G168" s="3"/>
      <c r="H168" s="24">
        <v>76</v>
      </c>
      <c r="I168" s="5"/>
      <c r="J168" s="3"/>
      <c r="K168" s="5" t="s">
        <v>13</v>
      </c>
    </row>
    <row r="169" spans="1:11" ht="14.25" customHeight="1" thickBot="1">
      <c r="A169" s="4">
        <v>40422</v>
      </c>
      <c r="B169" s="5" t="s">
        <v>89</v>
      </c>
      <c r="C169" s="24">
        <v>86</v>
      </c>
      <c r="D169" s="3"/>
      <c r="E169" s="3"/>
      <c r="F169" s="4">
        <v>40413</v>
      </c>
      <c r="G169" s="3"/>
      <c r="H169" s="24">
        <v>76</v>
      </c>
      <c r="I169" s="5"/>
      <c r="J169" s="3"/>
      <c r="K169" s="5" t="s">
        <v>13</v>
      </c>
    </row>
    <row r="170" spans="1:11" ht="14.25" customHeight="1" thickBot="1">
      <c r="A170" s="4">
        <v>40423</v>
      </c>
      <c r="B170" s="5" t="s">
        <v>89</v>
      </c>
      <c r="C170" s="24">
        <v>87</v>
      </c>
      <c r="D170" s="3"/>
      <c r="E170" s="3"/>
      <c r="F170" s="4">
        <v>40414</v>
      </c>
      <c r="G170" s="3"/>
      <c r="H170" s="24">
        <v>76</v>
      </c>
      <c r="I170" s="5"/>
      <c r="J170" s="3"/>
      <c r="K170" s="5" t="s">
        <v>13</v>
      </c>
    </row>
    <row r="171" spans="1:11" ht="14.25" customHeight="1" thickBot="1">
      <c r="A171" s="4">
        <v>40424</v>
      </c>
      <c r="B171" s="5" t="s">
        <v>90</v>
      </c>
      <c r="C171" s="24">
        <v>150</v>
      </c>
      <c r="D171" s="3"/>
      <c r="E171" s="3"/>
      <c r="F171" s="4">
        <v>40415</v>
      </c>
      <c r="G171" s="3"/>
      <c r="H171" s="24">
        <v>76</v>
      </c>
      <c r="I171" s="5"/>
      <c r="J171" s="3"/>
      <c r="K171" s="5" t="s">
        <v>13</v>
      </c>
    </row>
    <row r="172" spans="1:11" ht="14.25" customHeight="1" thickBot="1">
      <c r="A172" s="4">
        <v>40425</v>
      </c>
      <c r="B172" s="5" t="s">
        <v>17</v>
      </c>
      <c r="C172" s="24">
        <v>97</v>
      </c>
      <c r="D172" s="3"/>
      <c r="E172" s="3"/>
      <c r="F172" s="4">
        <v>40416</v>
      </c>
      <c r="G172" s="3"/>
      <c r="H172" s="24">
        <v>75</v>
      </c>
      <c r="I172" s="5"/>
      <c r="J172" s="3"/>
      <c r="K172" s="5" t="s">
        <v>13</v>
      </c>
    </row>
    <row r="173" spans="1:11" ht="14.25" customHeight="1" thickBot="1">
      <c r="A173" s="4">
        <v>40426</v>
      </c>
      <c r="B173" s="5" t="s">
        <v>90</v>
      </c>
      <c r="C173" s="24">
        <v>151</v>
      </c>
      <c r="D173" s="3"/>
      <c r="E173" s="3"/>
      <c r="F173" s="4">
        <v>40417</v>
      </c>
      <c r="G173" s="3"/>
      <c r="H173" s="24">
        <v>75</v>
      </c>
      <c r="I173" s="5"/>
      <c r="J173" s="3"/>
      <c r="K173" s="5" t="s">
        <v>95</v>
      </c>
    </row>
    <row r="174" spans="1:11" ht="14.25" customHeight="1" thickBot="1">
      <c r="A174" s="4">
        <v>40427</v>
      </c>
      <c r="B174" s="5" t="s">
        <v>17</v>
      </c>
      <c r="C174" s="24">
        <v>62</v>
      </c>
      <c r="D174" s="3"/>
      <c r="E174" s="3"/>
      <c r="F174" s="4">
        <v>40418</v>
      </c>
      <c r="G174" s="3"/>
      <c r="H174" s="24">
        <v>75</v>
      </c>
      <c r="I174" s="5"/>
      <c r="J174" s="3"/>
      <c r="K174" s="5" t="s">
        <v>95</v>
      </c>
    </row>
    <row r="175" spans="1:11" ht="14.25" customHeight="1" thickBot="1">
      <c r="A175" s="4">
        <v>40428</v>
      </c>
      <c r="B175" s="5" t="s">
        <v>90</v>
      </c>
      <c r="C175" s="24">
        <v>125</v>
      </c>
      <c r="D175" s="3"/>
      <c r="E175" s="3"/>
      <c r="F175" s="4">
        <v>40419</v>
      </c>
      <c r="G175" s="3"/>
      <c r="H175" s="24">
        <v>75</v>
      </c>
      <c r="I175" s="5"/>
      <c r="J175" s="3"/>
      <c r="K175" s="5" t="s">
        <v>95</v>
      </c>
    </row>
    <row r="176" spans="1:11" ht="14.25" customHeight="1" thickBot="1">
      <c r="A176" s="4">
        <v>40429</v>
      </c>
      <c r="B176" s="5" t="s">
        <v>89</v>
      </c>
      <c r="C176" s="24">
        <v>69</v>
      </c>
      <c r="D176" s="3"/>
      <c r="E176" s="3"/>
      <c r="F176" s="4">
        <v>40420</v>
      </c>
      <c r="G176" s="3"/>
      <c r="H176" s="24">
        <v>74</v>
      </c>
      <c r="I176" s="5"/>
      <c r="J176" s="3"/>
      <c r="K176" s="5" t="s">
        <v>95</v>
      </c>
    </row>
    <row r="177" spans="1:11" ht="14.25" customHeight="1" thickBot="1">
      <c r="A177" s="4">
        <v>40430</v>
      </c>
      <c r="B177" s="5" t="s">
        <v>90</v>
      </c>
      <c r="C177" s="24">
        <v>160</v>
      </c>
      <c r="D177" s="3"/>
      <c r="E177" s="3"/>
      <c r="F177" s="4">
        <v>40421</v>
      </c>
      <c r="G177" s="3"/>
      <c r="H177" s="24">
        <v>74</v>
      </c>
      <c r="I177" s="5"/>
      <c r="J177" s="3"/>
      <c r="K177" s="5" t="s">
        <v>95</v>
      </c>
    </row>
    <row r="178" spans="1:11" ht="14.25" customHeight="1" thickBot="1">
      <c r="A178" s="4">
        <v>40431</v>
      </c>
      <c r="B178" s="5" t="s">
        <v>93</v>
      </c>
      <c r="C178" s="24">
        <v>88</v>
      </c>
      <c r="D178" s="3"/>
      <c r="E178" s="3"/>
      <c r="F178" s="4">
        <v>40422</v>
      </c>
      <c r="G178" s="3"/>
      <c r="H178" s="24">
        <v>74</v>
      </c>
      <c r="I178" s="5"/>
      <c r="J178" s="3"/>
      <c r="K178" s="5" t="s">
        <v>95</v>
      </c>
    </row>
    <row r="179" spans="1:11" ht="14.25" customHeight="1" thickBot="1">
      <c r="A179" s="4">
        <v>40432</v>
      </c>
      <c r="B179" s="5" t="s">
        <v>17</v>
      </c>
      <c r="C179" s="24">
        <v>107</v>
      </c>
      <c r="D179" s="3"/>
      <c r="E179" s="3"/>
      <c r="F179" s="4">
        <v>40423</v>
      </c>
      <c r="G179" s="3"/>
      <c r="H179" s="24">
        <v>73</v>
      </c>
      <c r="I179" s="5"/>
      <c r="J179" s="3"/>
      <c r="K179" s="5" t="s">
        <v>95</v>
      </c>
    </row>
    <row r="180" spans="1:11" ht="14.25" customHeight="1" thickBot="1">
      <c r="A180" s="4">
        <v>40433</v>
      </c>
      <c r="B180" s="5" t="s">
        <v>17</v>
      </c>
      <c r="C180" s="24">
        <v>148</v>
      </c>
      <c r="D180" s="3"/>
      <c r="E180" s="3"/>
      <c r="F180" s="4">
        <v>40424</v>
      </c>
      <c r="G180" s="3"/>
      <c r="H180" s="24">
        <v>73</v>
      </c>
      <c r="I180" s="5"/>
      <c r="J180" s="3"/>
      <c r="K180" s="5" t="s">
        <v>95</v>
      </c>
    </row>
    <row r="181" spans="1:11" ht="14.25" customHeight="1" thickBot="1">
      <c r="A181" s="4">
        <v>40434</v>
      </c>
      <c r="B181" s="5" t="s">
        <v>89</v>
      </c>
      <c r="C181" s="24">
        <v>75</v>
      </c>
      <c r="D181" s="3"/>
      <c r="E181" s="3"/>
      <c r="F181" s="4">
        <v>40425</v>
      </c>
      <c r="G181" s="3"/>
      <c r="H181" s="24">
        <v>71</v>
      </c>
      <c r="I181" s="5"/>
      <c r="J181" s="3"/>
      <c r="K181" s="5" t="s">
        <v>95</v>
      </c>
    </row>
    <row r="182" spans="1:11" ht="14.25" customHeight="1" thickBot="1">
      <c r="A182" s="4">
        <v>40435</v>
      </c>
      <c r="B182" s="5" t="s">
        <v>89</v>
      </c>
      <c r="C182" s="24">
        <v>68</v>
      </c>
      <c r="D182" s="3"/>
      <c r="E182" s="3"/>
      <c r="F182" s="4">
        <v>40426</v>
      </c>
      <c r="G182" s="3"/>
      <c r="H182" s="24">
        <v>71</v>
      </c>
      <c r="I182" s="5"/>
      <c r="J182" s="3"/>
      <c r="K182" s="5" t="s">
        <v>95</v>
      </c>
    </row>
    <row r="183" spans="1:11" ht="14.25" customHeight="1" thickBot="1">
      <c r="A183" s="4">
        <v>40436</v>
      </c>
      <c r="B183" s="5" t="s">
        <v>93</v>
      </c>
      <c r="C183" s="24">
        <v>98</v>
      </c>
      <c r="D183" s="3"/>
      <c r="E183" s="3"/>
      <c r="F183" s="4">
        <v>40427</v>
      </c>
      <c r="G183" s="3"/>
      <c r="H183" s="24">
        <v>70</v>
      </c>
      <c r="I183" s="5"/>
      <c r="J183" s="3"/>
      <c r="K183" s="5" t="s">
        <v>95</v>
      </c>
    </row>
    <row r="184" spans="1:11" ht="14.25" customHeight="1" thickBot="1">
      <c r="A184" s="4">
        <v>40437</v>
      </c>
      <c r="B184" s="5" t="s">
        <v>95</v>
      </c>
      <c r="C184" s="24">
        <v>134</v>
      </c>
      <c r="D184" s="3"/>
      <c r="E184" s="3"/>
      <c r="F184" s="4">
        <v>40428</v>
      </c>
      <c r="G184" s="3"/>
      <c r="H184" s="24">
        <v>69</v>
      </c>
      <c r="I184" s="5"/>
      <c r="J184" s="3"/>
      <c r="K184" s="5" t="s">
        <v>95</v>
      </c>
    </row>
    <row r="185" spans="1:11" ht="14.25" customHeight="1" thickBot="1">
      <c r="A185" s="4">
        <v>40438</v>
      </c>
      <c r="B185" s="5" t="s">
        <v>17</v>
      </c>
      <c r="C185" s="24">
        <v>84</v>
      </c>
      <c r="D185" s="3"/>
      <c r="E185" s="3"/>
      <c r="F185" s="4">
        <v>40429</v>
      </c>
      <c r="G185" s="3"/>
      <c r="H185" s="24">
        <v>69</v>
      </c>
      <c r="I185" s="5"/>
      <c r="J185" s="3"/>
      <c r="K185" s="5" t="s">
        <v>95</v>
      </c>
    </row>
    <row r="186" spans="1:11" ht="14.25" customHeight="1" thickBot="1">
      <c r="A186" s="4">
        <v>40439</v>
      </c>
      <c r="B186" s="5" t="s">
        <v>13</v>
      </c>
      <c r="C186" s="24">
        <v>155</v>
      </c>
      <c r="D186" s="3"/>
      <c r="E186" s="3"/>
      <c r="F186" s="4">
        <v>40430</v>
      </c>
      <c r="G186" s="3"/>
      <c r="H186" s="24">
        <v>69</v>
      </c>
      <c r="I186" s="5"/>
      <c r="J186" s="3"/>
      <c r="K186" s="5" t="s">
        <v>95</v>
      </c>
    </row>
    <row r="187" spans="1:11" ht="14.25" customHeight="1" thickBot="1">
      <c r="A187" s="4">
        <v>40440</v>
      </c>
      <c r="B187" s="5" t="s">
        <v>90</v>
      </c>
      <c r="C187" s="24">
        <v>146</v>
      </c>
      <c r="D187" s="3"/>
      <c r="E187" s="3"/>
      <c r="F187" s="4">
        <v>40431</v>
      </c>
      <c r="G187" s="3"/>
      <c r="H187" s="24">
        <v>68</v>
      </c>
      <c r="I187" s="5"/>
      <c r="J187" s="3"/>
      <c r="K187" s="5" t="s">
        <v>95</v>
      </c>
    </row>
    <row r="188" spans="1:11" ht="14.25" customHeight="1" thickBot="1">
      <c r="A188" s="4">
        <v>40441</v>
      </c>
      <c r="B188" s="5" t="s">
        <v>95</v>
      </c>
      <c r="C188" s="24">
        <v>110</v>
      </c>
      <c r="D188" s="3"/>
      <c r="E188" s="3"/>
      <c r="F188" s="4">
        <v>40432</v>
      </c>
      <c r="G188" s="3"/>
      <c r="H188" s="24">
        <v>68</v>
      </c>
      <c r="I188" s="5"/>
      <c r="J188" s="3"/>
      <c r="K188" s="5" t="s">
        <v>95</v>
      </c>
    </row>
    <row r="189" spans="1:11" ht="14.25" customHeight="1" thickBot="1">
      <c r="A189" s="4">
        <v>40442</v>
      </c>
      <c r="B189" s="5" t="s">
        <v>95</v>
      </c>
      <c r="C189" s="24">
        <v>139</v>
      </c>
      <c r="D189" s="3"/>
      <c r="E189" s="3"/>
      <c r="F189" s="4">
        <v>40433</v>
      </c>
      <c r="G189" s="3"/>
      <c r="H189" s="24">
        <v>67</v>
      </c>
      <c r="I189" s="5"/>
      <c r="J189" s="3"/>
      <c r="K189" s="5" t="s">
        <v>95</v>
      </c>
    </row>
    <row r="190" spans="1:11" ht="14.25" customHeight="1" thickBot="1">
      <c r="A190" s="4">
        <v>40443</v>
      </c>
      <c r="B190" s="5" t="s">
        <v>13</v>
      </c>
      <c r="C190" s="24">
        <v>68</v>
      </c>
      <c r="D190" s="3"/>
      <c r="E190" s="3"/>
      <c r="F190" s="4">
        <v>40434</v>
      </c>
      <c r="G190" s="3"/>
      <c r="H190" s="24">
        <v>66</v>
      </c>
      <c r="I190" s="5"/>
      <c r="J190" s="3"/>
      <c r="K190" s="5" t="s">
        <v>95</v>
      </c>
    </row>
    <row r="191" spans="1:11" ht="14.25" customHeight="1" thickBot="1">
      <c r="A191" s="4">
        <v>40444</v>
      </c>
      <c r="B191" s="5" t="s">
        <v>90</v>
      </c>
      <c r="C191" s="24">
        <v>131</v>
      </c>
      <c r="D191" s="3"/>
      <c r="E191" s="3"/>
      <c r="F191" s="4">
        <v>40435</v>
      </c>
      <c r="G191" s="3"/>
      <c r="H191" s="24">
        <v>66</v>
      </c>
      <c r="I191" s="5"/>
      <c r="J191" s="3"/>
      <c r="K191" s="5" t="s">
        <v>95</v>
      </c>
    </row>
    <row r="192" spans="1:11" ht="14.25" customHeight="1" thickBot="1">
      <c r="A192" s="4">
        <v>40445</v>
      </c>
      <c r="B192" s="5" t="s">
        <v>95</v>
      </c>
      <c r="C192" s="24">
        <v>141</v>
      </c>
      <c r="D192" s="3"/>
      <c r="E192" s="3"/>
      <c r="F192" s="4">
        <v>40436</v>
      </c>
      <c r="G192" s="3"/>
      <c r="H192" s="24">
        <v>65</v>
      </c>
      <c r="I192" s="5"/>
      <c r="J192" s="3"/>
      <c r="K192" s="5" t="s">
        <v>95</v>
      </c>
    </row>
    <row r="193" spans="1:11" ht="14.25" customHeight="1" thickBot="1">
      <c r="A193" s="4">
        <v>40446</v>
      </c>
      <c r="B193" s="5" t="s">
        <v>95</v>
      </c>
      <c r="C193" s="24">
        <v>50</v>
      </c>
      <c r="D193" s="3"/>
      <c r="E193" s="3"/>
      <c r="F193" s="4">
        <v>40437</v>
      </c>
      <c r="G193" s="3"/>
      <c r="H193" s="24">
        <v>64</v>
      </c>
      <c r="I193" s="5"/>
      <c r="J193" s="3"/>
      <c r="K193" s="5" t="s">
        <v>95</v>
      </c>
    </row>
    <row r="194" spans="1:11" ht="14.25" customHeight="1" thickBot="1">
      <c r="A194" s="4">
        <v>40447</v>
      </c>
      <c r="B194" s="5" t="s">
        <v>13</v>
      </c>
      <c r="C194" s="24">
        <v>65</v>
      </c>
      <c r="D194" s="3"/>
      <c r="E194" s="3"/>
      <c r="F194" s="4">
        <v>40438</v>
      </c>
      <c r="G194" s="3"/>
      <c r="H194" s="24">
        <v>63</v>
      </c>
      <c r="I194" s="5"/>
      <c r="J194" s="3"/>
      <c r="K194" s="5" t="s">
        <v>95</v>
      </c>
    </row>
    <row r="195" spans="1:11" ht="14.25" customHeight="1" thickBot="1">
      <c r="A195" s="4">
        <v>40448</v>
      </c>
      <c r="B195" s="5" t="s">
        <v>93</v>
      </c>
      <c r="C195" s="24">
        <v>126</v>
      </c>
      <c r="D195" s="3"/>
      <c r="E195" s="3"/>
      <c r="F195" s="4">
        <v>40439</v>
      </c>
      <c r="G195" s="3"/>
      <c r="H195" s="24">
        <v>62</v>
      </c>
      <c r="I195" s="5"/>
      <c r="J195" s="3"/>
      <c r="K195" s="5" t="s">
        <v>95</v>
      </c>
    </row>
    <row r="196" spans="1:11" ht="14.25" customHeight="1" thickBot="1">
      <c r="A196" s="4">
        <v>40449</v>
      </c>
      <c r="B196" s="5" t="s">
        <v>93</v>
      </c>
      <c r="C196" s="24">
        <v>117</v>
      </c>
      <c r="D196" s="3"/>
      <c r="E196" s="3"/>
      <c r="F196" s="4">
        <v>40440</v>
      </c>
      <c r="G196" s="3"/>
      <c r="H196" s="24">
        <v>62</v>
      </c>
      <c r="I196" s="5"/>
      <c r="J196" s="3"/>
      <c r="K196" s="5" t="s">
        <v>95</v>
      </c>
    </row>
    <row r="197" spans="1:11" ht="14.25" customHeight="1" thickBot="1">
      <c r="A197" s="4">
        <v>40450</v>
      </c>
      <c r="B197" s="5" t="s">
        <v>93</v>
      </c>
      <c r="C197" s="24">
        <v>57</v>
      </c>
      <c r="D197" s="3"/>
      <c r="E197" s="3"/>
      <c r="F197" s="4">
        <v>40441</v>
      </c>
      <c r="G197" s="3"/>
      <c r="H197" s="24">
        <v>61</v>
      </c>
      <c r="I197" s="5"/>
      <c r="J197" s="3"/>
      <c r="K197" s="5" t="s">
        <v>95</v>
      </c>
    </row>
    <row r="198" spans="1:11" ht="14.25" customHeight="1" thickBot="1">
      <c r="A198" s="4">
        <v>40451</v>
      </c>
      <c r="B198" s="5" t="s">
        <v>89</v>
      </c>
      <c r="C198" s="24">
        <v>146</v>
      </c>
      <c r="D198" s="3"/>
      <c r="E198" s="3"/>
      <c r="F198" s="4">
        <v>40442</v>
      </c>
      <c r="G198" s="3"/>
      <c r="H198" s="24">
        <v>60</v>
      </c>
      <c r="I198" s="5"/>
      <c r="J198" s="3"/>
      <c r="K198" s="5" t="s">
        <v>95</v>
      </c>
    </row>
    <row r="199" spans="1:11" ht="14.25" customHeight="1" thickBot="1">
      <c r="A199" s="4">
        <v>40452</v>
      </c>
      <c r="B199" s="5" t="s">
        <v>13</v>
      </c>
      <c r="C199" s="24">
        <v>159</v>
      </c>
      <c r="D199" s="3"/>
      <c r="E199" s="3"/>
      <c r="F199" s="4">
        <v>40443</v>
      </c>
      <c r="G199" s="3"/>
      <c r="H199" s="24">
        <v>60</v>
      </c>
      <c r="I199" s="5"/>
      <c r="J199" s="3"/>
      <c r="K199" s="5" t="s">
        <v>95</v>
      </c>
    </row>
    <row r="200" spans="1:11" ht="14.25" customHeight="1" thickBot="1">
      <c r="A200" s="4">
        <v>40453</v>
      </c>
      <c r="B200" s="5" t="s">
        <v>95</v>
      </c>
      <c r="C200" s="24">
        <v>80</v>
      </c>
      <c r="D200" s="3"/>
      <c r="E200" s="3"/>
      <c r="F200" s="4">
        <v>40444</v>
      </c>
      <c r="G200" s="3"/>
      <c r="H200" s="24">
        <v>59</v>
      </c>
      <c r="I200" s="5"/>
      <c r="J200" s="3"/>
      <c r="K200" s="5" t="s">
        <v>95</v>
      </c>
    </row>
    <row r="201" spans="1:11" ht="14.25" customHeight="1" thickBot="1">
      <c r="A201" s="4">
        <v>40454</v>
      </c>
      <c r="B201" s="5" t="s">
        <v>95</v>
      </c>
      <c r="C201" s="24">
        <v>132</v>
      </c>
      <c r="D201" s="3"/>
      <c r="E201" s="3"/>
      <c r="F201" s="4">
        <v>40445</v>
      </c>
      <c r="G201" s="3"/>
      <c r="H201" s="24">
        <v>58</v>
      </c>
      <c r="I201" s="5"/>
      <c r="J201" s="3"/>
      <c r="K201" s="5" t="s">
        <v>95</v>
      </c>
    </row>
    <row r="202" spans="1:11" ht="14.25" customHeight="1" thickBot="1">
      <c r="A202" s="4">
        <v>40455</v>
      </c>
      <c r="B202" s="5" t="s">
        <v>13</v>
      </c>
      <c r="C202" s="24">
        <v>60</v>
      </c>
      <c r="D202" s="3"/>
      <c r="E202" s="3"/>
      <c r="F202" s="4">
        <v>40446</v>
      </c>
      <c r="G202" s="3"/>
      <c r="H202" s="24">
        <v>57</v>
      </c>
      <c r="I202" s="5"/>
      <c r="J202" s="3"/>
      <c r="K202" s="5" t="s">
        <v>95</v>
      </c>
    </row>
    <row r="203" spans="1:11" ht="14.25" customHeight="1" thickBot="1">
      <c r="A203" s="4">
        <v>40456</v>
      </c>
      <c r="B203" s="5" t="s">
        <v>95</v>
      </c>
      <c r="C203" s="24">
        <v>116</v>
      </c>
      <c r="D203" s="3"/>
      <c r="E203" s="3"/>
      <c r="F203" s="4">
        <v>40447</v>
      </c>
      <c r="G203" s="3"/>
      <c r="H203" s="24">
        <v>57</v>
      </c>
      <c r="I203" s="5"/>
      <c r="J203" s="3"/>
      <c r="K203" s="5" t="s">
        <v>95</v>
      </c>
    </row>
    <row r="204" spans="1:11" ht="14.25" customHeight="1" thickBot="1">
      <c r="A204" s="4">
        <v>40457</v>
      </c>
      <c r="B204" s="5" t="s">
        <v>93</v>
      </c>
      <c r="C204" s="24">
        <v>132</v>
      </c>
      <c r="D204" s="3"/>
      <c r="E204" s="3"/>
      <c r="F204" s="4">
        <v>40448</v>
      </c>
      <c r="G204" s="3"/>
      <c r="H204" s="24">
        <v>56</v>
      </c>
      <c r="I204" s="5"/>
      <c r="J204" s="3"/>
      <c r="K204" s="5" t="s">
        <v>95</v>
      </c>
    </row>
    <row r="205" spans="1:11" ht="14.25" customHeight="1" thickBot="1">
      <c r="A205" s="4">
        <v>40458</v>
      </c>
      <c r="B205" s="5" t="s">
        <v>89</v>
      </c>
      <c r="C205" s="24">
        <v>143</v>
      </c>
      <c r="D205" s="3"/>
      <c r="E205" s="3"/>
      <c r="F205" s="4">
        <v>40449</v>
      </c>
      <c r="G205" s="3"/>
      <c r="H205" s="24">
        <v>56</v>
      </c>
      <c r="I205" s="5"/>
      <c r="J205" s="3"/>
      <c r="K205" s="5" t="s">
        <v>95</v>
      </c>
    </row>
    <row r="206" spans="1:11" ht="14.25" customHeight="1" thickBot="1">
      <c r="A206" s="4">
        <v>40459</v>
      </c>
      <c r="B206" s="5" t="s">
        <v>95</v>
      </c>
      <c r="C206" s="24">
        <v>146</v>
      </c>
      <c r="D206" s="3"/>
      <c r="E206" s="3"/>
      <c r="F206" s="4">
        <v>40450</v>
      </c>
      <c r="G206" s="3"/>
      <c r="H206" s="24">
        <v>56</v>
      </c>
      <c r="I206" s="5"/>
      <c r="J206" s="3"/>
      <c r="K206" s="5" t="s">
        <v>95</v>
      </c>
    </row>
    <row r="207" spans="1:11" ht="15" customHeight="1" thickBot="1">
      <c r="F207" s="4">
        <v>40451</v>
      </c>
      <c r="H207" s="24">
        <v>56</v>
      </c>
      <c r="I207" s="5"/>
      <c r="K207" s="5" t="s">
        <v>95</v>
      </c>
    </row>
    <row r="208" spans="1:11" ht="15" customHeight="1" thickBot="1">
      <c r="F208" s="4">
        <v>40452</v>
      </c>
      <c r="H208" s="24">
        <v>54</v>
      </c>
      <c r="I208" s="5"/>
      <c r="K208" s="5" t="s">
        <v>95</v>
      </c>
    </row>
    <row r="209" spans="6:11" ht="15" customHeight="1" thickBot="1">
      <c r="F209" s="4">
        <v>40453</v>
      </c>
      <c r="H209" s="24">
        <v>54</v>
      </c>
      <c r="I209" s="5"/>
      <c r="K209" s="5" t="s">
        <v>95</v>
      </c>
    </row>
    <row r="210" spans="6:11" ht="15" customHeight="1" thickBot="1">
      <c r="F210" s="4">
        <v>40454</v>
      </c>
      <c r="H210" s="24">
        <v>54</v>
      </c>
      <c r="I210" s="5"/>
      <c r="K210" s="5" t="s">
        <v>95</v>
      </c>
    </row>
    <row r="211" spans="6:11" ht="15" customHeight="1" thickBot="1">
      <c r="F211" s="4">
        <v>40455</v>
      </c>
      <c r="H211" s="24">
        <v>54</v>
      </c>
      <c r="I211" s="5"/>
      <c r="K211" s="5" t="s">
        <v>95</v>
      </c>
    </row>
    <row r="212" spans="6:11" ht="15" customHeight="1" thickBot="1">
      <c r="F212" s="4">
        <v>40456</v>
      </c>
      <c r="H212" s="24">
        <v>53</v>
      </c>
      <c r="I212" s="5"/>
      <c r="K212" s="5" t="s">
        <v>95</v>
      </c>
    </row>
    <row r="213" spans="6:11" ht="15" customHeight="1" thickBot="1">
      <c r="F213" s="4">
        <v>40457</v>
      </c>
      <c r="H213" s="24">
        <v>50</v>
      </c>
      <c r="I213" s="5"/>
      <c r="K213" s="5" t="s">
        <v>95</v>
      </c>
    </row>
    <row r="214" spans="6:11" ht="15" customHeight="1" thickBot="1">
      <c r="F214" s="4">
        <v>40458</v>
      </c>
      <c r="H214" s="24">
        <v>50</v>
      </c>
      <c r="I214" s="5"/>
      <c r="K214" s="5" t="s">
        <v>95</v>
      </c>
    </row>
    <row r="215" spans="6:11" ht="15" customHeight="1" thickBot="1">
      <c r="F215" s="4">
        <v>40459</v>
      </c>
      <c r="H215" s="24">
        <v>50</v>
      </c>
      <c r="I215" s="5"/>
      <c r="K215" s="5" t="s">
        <v>95</v>
      </c>
    </row>
    <row r="216" spans="6:11" ht="15" customHeight="1" thickBot="1">
      <c r="F216" s="22" t="s">
        <v>0</v>
      </c>
      <c r="H216" s="24">
        <v>50</v>
      </c>
      <c r="I216" s="5"/>
      <c r="K216" s="5" t="s">
        <v>95</v>
      </c>
    </row>
  </sheetData>
  <autoFilter ref="K11:K216">
    <sortState ref="K12:K216">
      <sortCondition ref="K11:K216"/>
    </sortState>
  </autoFilter>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301"/>
  <sheetViews>
    <sheetView tabSelected="1" workbookViewId="0">
      <selection activeCell="H21" sqref="H21"/>
    </sheetView>
  </sheetViews>
  <sheetFormatPr defaultColWidth="14.4140625" defaultRowHeight="15" customHeight="1"/>
  <cols>
    <col min="1" max="12" width="8.75" customWidth="1"/>
    <col min="13" max="13" width="22.25" customWidth="1"/>
    <col min="14" max="14" width="12.9140625" customWidth="1"/>
    <col min="15" max="15" width="14.6640625" customWidth="1"/>
    <col min="16" max="16" width="8.75" customWidth="1"/>
    <col min="17" max="17" width="12.9140625" customWidth="1"/>
    <col min="18" max="18" width="15.58203125" customWidth="1"/>
    <col min="19" max="19" width="10.83203125" customWidth="1"/>
    <col min="20" max="20" width="7.25" customWidth="1"/>
    <col min="21" max="21" width="12.9140625" customWidth="1"/>
    <col min="22" max="22" width="15.58203125" customWidth="1"/>
    <col min="23" max="23" width="10.83203125" customWidth="1"/>
    <col min="24" max="24" width="13.75" customWidth="1"/>
    <col min="25" max="25" width="18.6640625" customWidth="1"/>
    <col min="26" max="26" width="9.58203125" customWidth="1"/>
    <col min="27" max="27" width="5.08203125" customWidth="1"/>
    <col min="28" max="28" width="8.9140625" customWidth="1"/>
    <col min="29" max="29" width="8.33203125" customWidth="1"/>
    <col min="30" max="30" width="6.9140625" customWidth="1"/>
    <col min="31" max="31" width="9.5" customWidth="1"/>
    <col min="32" max="32" width="3.75" customWidth="1"/>
    <col min="33" max="33" width="5.4140625" customWidth="1"/>
    <col min="34" max="34" width="6.6640625" customWidth="1"/>
    <col min="35" max="35" width="10.83203125" customWidth="1"/>
    <col min="37" max="37" width="25.9140625" customWidth="1"/>
    <col min="38" max="38" width="9.58203125" customWidth="1"/>
    <col min="39" max="39" width="10.83203125" customWidth="1"/>
    <col min="40" max="40" width="9.58203125" customWidth="1"/>
    <col min="41" max="60" width="8.25" customWidth="1"/>
    <col min="61" max="61" width="7.25" customWidth="1"/>
    <col min="62" max="71" width="8.25" customWidth="1"/>
    <col min="72" max="72" width="7.25" customWidth="1"/>
    <col min="73" max="82" width="8.25" customWidth="1"/>
    <col min="83" max="83" width="7.25" customWidth="1"/>
    <col min="84" max="93" width="8.25" customWidth="1"/>
    <col min="94" max="94" width="7.25" customWidth="1"/>
    <col min="95" max="104" width="8.25" customWidth="1"/>
    <col min="105" max="105" width="7.25" customWidth="1"/>
    <col min="106" max="107" width="8.25" customWidth="1"/>
    <col min="108" max="109" width="7.25" customWidth="1"/>
    <col min="110" max="110" width="6.75" customWidth="1"/>
    <col min="111" max="111" width="10.83203125" customWidth="1"/>
  </cols>
  <sheetData>
    <row r="1" spans="1:41" ht="14.25" customHeight="1">
      <c r="A1" s="25" t="s">
        <v>99</v>
      </c>
      <c r="B1" s="26" t="s">
        <v>100</v>
      </c>
      <c r="C1" s="26" t="s">
        <v>101</v>
      </c>
      <c r="D1" s="26" t="s">
        <v>102</v>
      </c>
      <c r="E1" s="26" t="s">
        <v>103</v>
      </c>
      <c r="F1" s="26" t="s">
        <v>104</v>
      </c>
      <c r="G1" s="26" t="s">
        <v>105</v>
      </c>
      <c r="H1" s="26" t="s">
        <v>106</v>
      </c>
      <c r="I1" s="26" t="s">
        <v>107</v>
      </c>
      <c r="J1" s="27" t="s">
        <v>108</v>
      </c>
      <c r="K1" s="27" t="s">
        <v>109</v>
      </c>
      <c r="L1" s="28" t="s">
        <v>110</v>
      </c>
      <c r="M1" s="29" t="s">
        <v>111</v>
      </c>
      <c r="Y1">
        <v>6</v>
      </c>
    </row>
    <row r="2" spans="1:41" ht="14.25" customHeight="1">
      <c r="A2" s="30" t="s">
        <v>112</v>
      </c>
      <c r="B2" s="31" t="s">
        <v>113</v>
      </c>
      <c r="C2" s="31" t="s">
        <v>114</v>
      </c>
      <c r="D2" s="31">
        <v>85</v>
      </c>
      <c r="E2" s="31">
        <v>7</v>
      </c>
      <c r="F2" s="31" t="s">
        <v>115</v>
      </c>
      <c r="G2" s="31" t="s">
        <v>116</v>
      </c>
      <c r="H2" s="31" t="s">
        <v>117</v>
      </c>
      <c r="I2" s="31">
        <v>103</v>
      </c>
      <c r="J2" s="32" t="s">
        <v>118</v>
      </c>
      <c r="K2" s="32" t="s">
        <v>119</v>
      </c>
      <c r="L2" s="33" t="s">
        <v>118</v>
      </c>
      <c r="M2" s="33" t="s">
        <v>120</v>
      </c>
      <c r="R2" s="11" t="s">
        <v>121</v>
      </c>
      <c r="S2" s="11" t="s">
        <v>122</v>
      </c>
    </row>
    <row r="3" spans="1:41" ht="14.25" customHeight="1">
      <c r="A3" s="30" t="s">
        <v>123</v>
      </c>
      <c r="B3" s="31" t="s">
        <v>124</v>
      </c>
      <c r="C3" s="31" t="s">
        <v>125</v>
      </c>
      <c r="D3" s="31">
        <v>35</v>
      </c>
      <c r="E3" s="31">
        <v>3</v>
      </c>
      <c r="F3" s="31" t="s">
        <v>126</v>
      </c>
      <c r="G3" s="31" t="s">
        <v>127</v>
      </c>
      <c r="H3" s="31" t="s">
        <v>128</v>
      </c>
      <c r="I3" s="31">
        <v>128</v>
      </c>
      <c r="J3" s="32" t="s">
        <v>129</v>
      </c>
      <c r="K3" s="32" t="s">
        <v>130</v>
      </c>
      <c r="L3" s="33" t="s">
        <v>129</v>
      </c>
      <c r="M3" s="33" t="s">
        <v>120</v>
      </c>
      <c r="R3" s="11" t="s">
        <v>131</v>
      </c>
      <c r="S3" s="11" t="s">
        <v>132</v>
      </c>
    </row>
    <row r="4" spans="1:41" ht="14.25" customHeight="1">
      <c r="A4" s="30" t="s">
        <v>133</v>
      </c>
      <c r="B4" s="31" t="s">
        <v>134</v>
      </c>
      <c r="C4" s="31" t="s">
        <v>135</v>
      </c>
      <c r="D4" s="31">
        <v>18</v>
      </c>
      <c r="E4" s="31">
        <v>1</v>
      </c>
      <c r="F4" s="31" t="s">
        <v>136</v>
      </c>
      <c r="G4" s="31" t="s">
        <v>137</v>
      </c>
      <c r="H4" s="31" t="s">
        <v>138</v>
      </c>
      <c r="I4" s="31">
        <v>37</v>
      </c>
      <c r="J4" s="32" t="s">
        <v>139</v>
      </c>
      <c r="K4" s="32" t="s">
        <v>140</v>
      </c>
      <c r="L4" s="33" t="s">
        <v>141</v>
      </c>
      <c r="M4" s="33" t="s">
        <v>142</v>
      </c>
      <c r="R4" s="11" t="s">
        <v>143</v>
      </c>
      <c r="S4" s="11" t="s">
        <v>144</v>
      </c>
    </row>
    <row r="5" spans="1:41" ht="14.25" customHeight="1">
      <c r="A5" s="30" t="s">
        <v>145</v>
      </c>
      <c r="B5" s="31" t="s">
        <v>113</v>
      </c>
      <c r="C5" s="31" t="s">
        <v>146</v>
      </c>
      <c r="D5" s="31">
        <v>31</v>
      </c>
      <c r="E5" s="31">
        <v>1</v>
      </c>
      <c r="F5" s="31" t="s">
        <v>147</v>
      </c>
      <c r="G5" s="31" t="s">
        <v>148</v>
      </c>
      <c r="H5" s="31" t="s">
        <v>117</v>
      </c>
      <c r="I5" s="31">
        <v>109</v>
      </c>
      <c r="J5" s="32" t="s">
        <v>149</v>
      </c>
      <c r="K5" s="32" t="s">
        <v>119</v>
      </c>
      <c r="L5" s="33" t="s">
        <v>149</v>
      </c>
      <c r="M5" s="33" t="s">
        <v>120</v>
      </c>
      <c r="R5" s="11" t="s">
        <v>150</v>
      </c>
      <c r="S5" s="11" t="s">
        <v>151</v>
      </c>
    </row>
    <row r="6" spans="1:41" ht="14.25" customHeight="1">
      <c r="A6" s="30" t="s">
        <v>152</v>
      </c>
      <c r="B6" s="31" t="s">
        <v>153</v>
      </c>
      <c r="C6" s="31" t="s">
        <v>154</v>
      </c>
      <c r="D6" s="31">
        <v>46</v>
      </c>
      <c r="E6" s="31">
        <v>4</v>
      </c>
      <c r="F6" s="31" t="s">
        <v>155</v>
      </c>
      <c r="G6" s="31" t="s">
        <v>156</v>
      </c>
      <c r="H6" s="31" t="s">
        <v>117</v>
      </c>
      <c r="I6" s="31">
        <v>30</v>
      </c>
      <c r="J6" s="32" t="s">
        <v>157</v>
      </c>
      <c r="K6" s="32" t="s">
        <v>119</v>
      </c>
      <c r="L6" s="33" t="s">
        <v>158</v>
      </c>
      <c r="M6" s="33" t="s">
        <v>142</v>
      </c>
      <c r="R6" s="11" t="s">
        <v>159</v>
      </c>
      <c r="S6" s="11" t="s">
        <v>160</v>
      </c>
    </row>
    <row r="7" spans="1:41" ht="14.25" customHeight="1">
      <c r="A7" s="30" t="s">
        <v>161</v>
      </c>
      <c r="B7" s="31" t="s">
        <v>113</v>
      </c>
      <c r="C7" s="31" t="s">
        <v>162</v>
      </c>
      <c r="D7" s="31">
        <v>44</v>
      </c>
      <c r="E7" s="31">
        <v>3</v>
      </c>
      <c r="F7" s="31" t="s">
        <v>163</v>
      </c>
      <c r="G7" s="31" t="s">
        <v>164</v>
      </c>
      <c r="H7" s="31" t="s">
        <v>117</v>
      </c>
      <c r="I7" s="31">
        <v>132</v>
      </c>
      <c r="J7" s="32" t="s">
        <v>165</v>
      </c>
      <c r="K7" s="32" t="s">
        <v>130</v>
      </c>
      <c r="L7" s="33" t="s">
        <v>165</v>
      </c>
      <c r="M7" s="33" t="s">
        <v>120</v>
      </c>
      <c r="R7" s="11" t="s">
        <v>166</v>
      </c>
      <c r="S7" s="11" t="s">
        <v>167</v>
      </c>
    </row>
    <row r="8" spans="1:41" ht="14.25" customHeight="1">
      <c r="A8" s="30" t="s">
        <v>168</v>
      </c>
      <c r="B8" s="31" t="s">
        <v>134</v>
      </c>
      <c r="C8" s="31" t="s">
        <v>114</v>
      </c>
      <c r="D8" s="31">
        <v>34</v>
      </c>
      <c r="E8" s="31">
        <v>7</v>
      </c>
      <c r="F8" s="31" t="s">
        <v>126</v>
      </c>
      <c r="G8" s="31" t="s">
        <v>169</v>
      </c>
      <c r="H8" s="31" t="s">
        <v>117</v>
      </c>
      <c r="I8" s="31">
        <v>51</v>
      </c>
      <c r="J8" s="32" t="s">
        <v>129</v>
      </c>
      <c r="K8" s="32" t="s">
        <v>170</v>
      </c>
      <c r="L8" s="33" t="s">
        <v>129</v>
      </c>
      <c r="M8" s="33" t="s">
        <v>171</v>
      </c>
      <c r="R8" s="11" t="s">
        <v>172</v>
      </c>
      <c r="S8" s="11" t="s">
        <v>173</v>
      </c>
    </row>
    <row r="9" spans="1:41" ht="14.25" customHeight="1">
      <c r="A9" s="30" t="s">
        <v>174</v>
      </c>
      <c r="B9" s="31" t="s">
        <v>175</v>
      </c>
      <c r="C9" s="31" t="s">
        <v>125</v>
      </c>
      <c r="D9" s="31">
        <v>22</v>
      </c>
      <c r="E9" s="31">
        <v>5</v>
      </c>
      <c r="F9" s="31" t="s">
        <v>136</v>
      </c>
      <c r="G9" s="31" t="s">
        <v>169</v>
      </c>
      <c r="H9" s="31" t="s">
        <v>117</v>
      </c>
      <c r="I9" s="31">
        <v>24</v>
      </c>
      <c r="J9" s="32" t="s">
        <v>139</v>
      </c>
      <c r="K9" s="32" t="s">
        <v>140</v>
      </c>
      <c r="L9" s="33" t="s">
        <v>141</v>
      </c>
      <c r="M9" s="33" t="s">
        <v>142</v>
      </c>
      <c r="R9" s="11" t="s">
        <v>176</v>
      </c>
      <c r="S9" s="11" t="s">
        <v>177</v>
      </c>
    </row>
    <row r="10" spans="1:41" ht="14.25" customHeight="1">
      <c r="A10" s="30" t="s">
        <v>178</v>
      </c>
      <c r="B10" s="31" t="s">
        <v>179</v>
      </c>
      <c r="C10" s="31" t="s">
        <v>135</v>
      </c>
      <c r="D10" s="31">
        <v>37</v>
      </c>
      <c r="E10" s="31">
        <v>4</v>
      </c>
      <c r="F10" s="31" t="s">
        <v>147</v>
      </c>
      <c r="G10" s="31" t="s">
        <v>169</v>
      </c>
      <c r="H10" s="31" t="s">
        <v>117</v>
      </c>
      <c r="I10" s="31">
        <v>48</v>
      </c>
      <c r="J10" s="32" t="s">
        <v>149</v>
      </c>
      <c r="K10" s="32" t="s">
        <v>119</v>
      </c>
      <c r="L10" s="33" t="s">
        <v>149</v>
      </c>
      <c r="M10" s="33" t="s">
        <v>171</v>
      </c>
      <c r="R10" s="11"/>
      <c r="S10" s="11"/>
    </row>
    <row r="11" spans="1:41" ht="14.25" customHeight="1">
      <c r="A11" s="30" t="s">
        <v>180</v>
      </c>
      <c r="B11" s="31" t="s">
        <v>181</v>
      </c>
      <c r="C11" s="31" t="s">
        <v>146</v>
      </c>
      <c r="D11" s="31">
        <v>30</v>
      </c>
      <c r="E11" s="31">
        <v>6</v>
      </c>
      <c r="F11" s="31" t="s">
        <v>155</v>
      </c>
      <c r="G11" s="31" t="s">
        <v>169</v>
      </c>
      <c r="H11" s="31" t="s">
        <v>117</v>
      </c>
      <c r="I11" s="31">
        <v>14</v>
      </c>
      <c r="J11" s="32" t="s">
        <v>157</v>
      </c>
      <c r="K11" s="32" t="s">
        <v>119</v>
      </c>
      <c r="L11" s="33" t="s">
        <v>158</v>
      </c>
      <c r="M11" s="33" t="s">
        <v>142</v>
      </c>
    </row>
    <row r="12" spans="1:41" ht="14.25" customHeight="1">
      <c r="A12" s="30" t="s">
        <v>182</v>
      </c>
      <c r="B12" s="31" t="s">
        <v>113</v>
      </c>
      <c r="C12" s="31" t="s">
        <v>154</v>
      </c>
      <c r="D12" s="31">
        <v>68</v>
      </c>
      <c r="E12" s="31">
        <v>6</v>
      </c>
      <c r="F12" s="31" t="s">
        <v>163</v>
      </c>
      <c r="G12" s="31" t="s">
        <v>169</v>
      </c>
      <c r="H12" s="31" t="s">
        <v>128</v>
      </c>
      <c r="I12" s="31">
        <v>50</v>
      </c>
      <c r="J12" s="32" t="s">
        <v>165</v>
      </c>
      <c r="K12" s="32" t="s">
        <v>130</v>
      </c>
      <c r="L12" s="33" t="s">
        <v>165</v>
      </c>
      <c r="M12" s="33" t="s">
        <v>171</v>
      </c>
    </row>
    <row r="13" spans="1:41" ht="14.25" customHeight="1">
      <c r="A13" s="30" t="s">
        <v>183</v>
      </c>
      <c r="B13" s="31" t="s">
        <v>124</v>
      </c>
      <c r="C13" s="31" t="s">
        <v>162</v>
      </c>
      <c r="D13" s="31">
        <v>71</v>
      </c>
      <c r="E13" s="31">
        <v>3</v>
      </c>
      <c r="F13" s="31" t="s">
        <v>126</v>
      </c>
      <c r="G13" s="31" t="s">
        <v>169</v>
      </c>
      <c r="H13" s="31" t="s">
        <v>138</v>
      </c>
      <c r="I13" s="31">
        <v>25</v>
      </c>
      <c r="J13" s="32" t="s">
        <v>129</v>
      </c>
      <c r="K13" s="32" t="s">
        <v>170</v>
      </c>
      <c r="L13" s="33" t="s">
        <v>129</v>
      </c>
      <c r="M13" s="33" t="s">
        <v>142</v>
      </c>
    </row>
    <row r="14" spans="1:41" ht="14.25" customHeight="1">
      <c r="A14" s="30" t="s">
        <v>184</v>
      </c>
      <c r="B14" s="31" t="s">
        <v>134</v>
      </c>
      <c r="C14" s="31" t="s">
        <v>185</v>
      </c>
      <c r="D14" s="31">
        <v>66</v>
      </c>
      <c r="E14" s="31">
        <v>4</v>
      </c>
      <c r="F14" s="31" t="s">
        <v>136</v>
      </c>
      <c r="G14" s="31" t="s">
        <v>169</v>
      </c>
      <c r="H14" s="31" t="s">
        <v>117</v>
      </c>
      <c r="I14" s="31">
        <v>50</v>
      </c>
      <c r="J14" s="32" t="s">
        <v>139</v>
      </c>
      <c r="K14" s="32" t="s">
        <v>186</v>
      </c>
      <c r="L14" s="33" t="s">
        <v>141</v>
      </c>
      <c r="M14" s="33" t="s">
        <v>171</v>
      </c>
    </row>
    <row r="15" spans="1:41" ht="14.25" customHeight="1" thickBot="1">
      <c r="A15" s="30" t="s">
        <v>187</v>
      </c>
      <c r="B15" s="31" t="s">
        <v>188</v>
      </c>
      <c r="C15" s="31" t="s">
        <v>185</v>
      </c>
      <c r="D15" s="31">
        <v>49</v>
      </c>
      <c r="E15" s="31">
        <v>8</v>
      </c>
      <c r="F15" s="31" t="s">
        <v>147</v>
      </c>
      <c r="G15" s="31" t="s">
        <v>169</v>
      </c>
      <c r="H15" s="31" t="s">
        <v>128</v>
      </c>
      <c r="I15" s="31">
        <v>76</v>
      </c>
      <c r="J15" s="32" t="s">
        <v>149</v>
      </c>
      <c r="K15" s="32" t="s">
        <v>186</v>
      </c>
      <c r="L15" s="33" t="s">
        <v>149</v>
      </c>
      <c r="M15" s="33" t="s">
        <v>120</v>
      </c>
      <c r="AM15">
        <v>6</v>
      </c>
      <c r="AO15">
        <v>8</v>
      </c>
    </row>
    <row r="16" spans="1:41" ht="14.25" customHeight="1" thickBot="1">
      <c r="A16" s="30" t="s">
        <v>189</v>
      </c>
      <c r="B16" s="31" t="s">
        <v>188</v>
      </c>
      <c r="C16" s="31" t="s">
        <v>125</v>
      </c>
      <c r="D16" s="31">
        <v>76</v>
      </c>
      <c r="E16" s="31">
        <v>10</v>
      </c>
      <c r="F16" s="31" t="s">
        <v>155</v>
      </c>
      <c r="G16" s="31" t="s">
        <v>116</v>
      </c>
      <c r="H16" s="31" t="s">
        <v>128</v>
      </c>
      <c r="I16" s="31">
        <v>25</v>
      </c>
      <c r="J16" s="32" t="s">
        <v>157</v>
      </c>
      <c r="K16" s="32" t="s">
        <v>186</v>
      </c>
      <c r="L16" s="33" t="s">
        <v>158</v>
      </c>
      <c r="M16" s="33" t="s">
        <v>142</v>
      </c>
      <c r="N16" s="35" t="s">
        <v>342</v>
      </c>
      <c r="O16" t="s">
        <v>340</v>
      </c>
      <c r="R16" s="35" t="s">
        <v>108</v>
      </c>
      <c r="V16" s="35" t="s">
        <v>341</v>
      </c>
      <c r="Y16" s="35" t="s">
        <v>339</v>
      </c>
      <c r="Z16" s="35" t="s">
        <v>108</v>
      </c>
      <c r="AK16" s="35" t="s">
        <v>343</v>
      </c>
      <c r="AM16" s="35" t="s">
        <v>106</v>
      </c>
      <c r="AO16" s="26" t="s">
        <v>101</v>
      </c>
    </row>
    <row r="17" spans="1:41" ht="14.25" customHeight="1" thickBot="1">
      <c r="A17" s="30" t="s">
        <v>190</v>
      </c>
      <c r="B17" s="31" t="s">
        <v>188</v>
      </c>
      <c r="C17" s="31" t="s">
        <v>135</v>
      </c>
      <c r="D17" s="31">
        <v>48</v>
      </c>
      <c r="E17" s="31">
        <v>3</v>
      </c>
      <c r="F17" s="31" t="s">
        <v>163</v>
      </c>
      <c r="G17" s="31" t="s">
        <v>127</v>
      </c>
      <c r="H17" s="31" t="s">
        <v>128</v>
      </c>
      <c r="I17" s="31">
        <v>69</v>
      </c>
      <c r="J17" s="32" t="s">
        <v>191</v>
      </c>
      <c r="K17" s="32" t="s">
        <v>186</v>
      </c>
      <c r="L17" s="33" t="s">
        <v>191</v>
      </c>
      <c r="M17" s="33" t="s">
        <v>171</v>
      </c>
      <c r="N17" s="36" t="s">
        <v>119</v>
      </c>
      <c r="O17" s="38">
        <v>24</v>
      </c>
      <c r="Q17" s="35" t="s">
        <v>106</v>
      </c>
      <c r="R17" s="34" t="s">
        <v>139</v>
      </c>
      <c r="S17" s="34" t="s">
        <v>261</v>
      </c>
      <c r="U17" s="35" t="s">
        <v>260</v>
      </c>
      <c r="V17" s="34" t="s">
        <v>171</v>
      </c>
      <c r="W17" s="34" t="s">
        <v>261</v>
      </c>
      <c r="Y17" s="35" t="s">
        <v>106</v>
      </c>
      <c r="Z17" s="34" t="s">
        <v>119</v>
      </c>
      <c r="AA17" s="34" t="s">
        <v>140</v>
      </c>
      <c r="AB17" s="34" t="s">
        <v>228</v>
      </c>
      <c r="AC17" s="34" t="s">
        <v>170</v>
      </c>
      <c r="AD17" s="34" t="s">
        <v>220</v>
      </c>
      <c r="AE17" s="34" t="s">
        <v>204</v>
      </c>
      <c r="AF17" s="34" t="s">
        <v>186</v>
      </c>
      <c r="AG17" s="34" t="s">
        <v>130</v>
      </c>
      <c r="AH17" s="34" t="s">
        <v>211</v>
      </c>
      <c r="AI17" s="34" t="s">
        <v>261</v>
      </c>
      <c r="AK17" s="36" t="s">
        <v>112</v>
      </c>
      <c r="AM17" s="36" t="s">
        <v>112</v>
      </c>
      <c r="AO17" s="31" t="str">
        <f>SUBSTITUTE(C2,"SP","AS")</f>
        <v>AS</v>
      </c>
    </row>
    <row r="18" spans="1:41" ht="14.25" customHeight="1" thickBot="1">
      <c r="A18" s="30" t="s">
        <v>192</v>
      </c>
      <c r="B18" s="31" t="s">
        <v>188</v>
      </c>
      <c r="C18" s="31" t="s">
        <v>146</v>
      </c>
      <c r="D18" s="31">
        <v>99</v>
      </c>
      <c r="E18" s="31">
        <v>1</v>
      </c>
      <c r="F18" s="31" t="s">
        <v>115</v>
      </c>
      <c r="G18" s="31" t="s">
        <v>137</v>
      </c>
      <c r="H18" s="31" t="s">
        <v>128</v>
      </c>
      <c r="I18" s="31">
        <v>35</v>
      </c>
      <c r="J18" s="32" t="s">
        <v>191</v>
      </c>
      <c r="K18" s="32" t="s">
        <v>140</v>
      </c>
      <c r="L18" s="33" t="s">
        <v>191</v>
      </c>
      <c r="M18" s="33" t="s">
        <v>142</v>
      </c>
      <c r="N18" s="36" t="s">
        <v>140</v>
      </c>
      <c r="O18" s="38">
        <v>3</v>
      </c>
      <c r="Q18" s="36" t="s">
        <v>128</v>
      </c>
      <c r="U18" s="36" t="s">
        <v>11</v>
      </c>
      <c r="Y18" s="36" t="s">
        <v>126</v>
      </c>
      <c r="Z18" s="38">
        <v>1</v>
      </c>
      <c r="AA18" s="38"/>
      <c r="AB18" s="38"/>
      <c r="AC18" s="38">
        <v>2</v>
      </c>
      <c r="AD18" s="38"/>
      <c r="AE18" s="38"/>
      <c r="AF18" s="38">
        <v>1</v>
      </c>
      <c r="AG18" s="38">
        <v>2</v>
      </c>
      <c r="AH18" s="38"/>
      <c r="AI18" s="38">
        <v>6</v>
      </c>
      <c r="AK18" s="37" t="s">
        <v>118</v>
      </c>
      <c r="AM18" s="37">
        <v>85</v>
      </c>
      <c r="AO18" s="31" t="str">
        <f t="shared" ref="AO18:AO81" si="0">SUBSTITUTE(C3,"SP","AS")</f>
        <v>AS</v>
      </c>
    </row>
    <row r="19" spans="1:41" ht="14.25" customHeight="1" thickBot="1">
      <c r="A19" s="30" t="s">
        <v>193</v>
      </c>
      <c r="B19" s="31" t="s">
        <v>188</v>
      </c>
      <c r="C19" s="31" t="s">
        <v>154</v>
      </c>
      <c r="D19" s="31">
        <v>33</v>
      </c>
      <c r="E19" s="31">
        <v>8</v>
      </c>
      <c r="F19" s="31" t="s">
        <v>115</v>
      </c>
      <c r="G19" s="31" t="s">
        <v>148</v>
      </c>
      <c r="H19" s="31" t="s">
        <v>128</v>
      </c>
      <c r="I19" s="31">
        <v>27</v>
      </c>
      <c r="J19" s="32" t="s">
        <v>194</v>
      </c>
      <c r="K19" s="32" t="s">
        <v>119</v>
      </c>
      <c r="L19" s="33" t="s">
        <v>194</v>
      </c>
      <c r="M19" s="33" t="s">
        <v>142</v>
      </c>
      <c r="N19" s="36" t="s">
        <v>228</v>
      </c>
      <c r="O19" s="38">
        <v>1</v>
      </c>
      <c r="Q19" s="37" t="s">
        <v>223</v>
      </c>
      <c r="U19" s="37" t="s">
        <v>219</v>
      </c>
      <c r="Y19" s="36" t="s">
        <v>115</v>
      </c>
      <c r="Z19" s="38">
        <v>5</v>
      </c>
      <c r="AA19" s="38">
        <v>1</v>
      </c>
      <c r="AB19" s="38"/>
      <c r="AC19" s="38"/>
      <c r="AD19" s="38">
        <v>1</v>
      </c>
      <c r="AE19" s="38">
        <v>1</v>
      </c>
      <c r="AF19" s="38">
        <v>1</v>
      </c>
      <c r="AG19" s="38">
        <v>3</v>
      </c>
      <c r="AH19" s="38"/>
      <c r="AI19" s="38">
        <v>12</v>
      </c>
      <c r="AK19" s="40" t="s">
        <v>113</v>
      </c>
      <c r="AM19" s="36" t="s">
        <v>180</v>
      </c>
      <c r="AO19" s="31" t="str">
        <f t="shared" si="0"/>
        <v>TK</v>
      </c>
    </row>
    <row r="20" spans="1:41" ht="14.25" customHeight="1" thickBot="1">
      <c r="A20" s="30" t="s">
        <v>195</v>
      </c>
      <c r="B20" s="31" t="s">
        <v>188</v>
      </c>
      <c r="C20" s="31" t="s">
        <v>162</v>
      </c>
      <c r="D20" s="31">
        <v>25</v>
      </c>
      <c r="E20" s="31">
        <v>8</v>
      </c>
      <c r="F20" s="31" t="s">
        <v>115</v>
      </c>
      <c r="G20" s="31" t="s">
        <v>156</v>
      </c>
      <c r="H20" s="31" t="s">
        <v>128</v>
      </c>
      <c r="I20" s="31">
        <v>80</v>
      </c>
      <c r="J20" s="32" t="s">
        <v>194</v>
      </c>
      <c r="K20" s="32" t="s">
        <v>119</v>
      </c>
      <c r="L20" s="33" t="s">
        <v>194</v>
      </c>
      <c r="M20" s="33" t="s">
        <v>120</v>
      </c>
      <c r="N20" s="36" t="s">
        <v>170</v>
      </c>
      <c r="O20" s="38">
        <v>2</v>
      </c>
      <c r="Q20" s="37" t="s">
        <v>231</v>
      </c>
      <c r="U20" s="40">
        <v>7</v>
      </c>
      <c r="Y20" s="36" t="s">
        <v>155</v>
      </c>
      <c r="Z20" s="38">
        <v>3</v>
      </c>
      <c r="AA20" s="38"/>
      <c r="AB20" s="38"/>
      <c r="AC20" s="38"/>
      <c r="AD20" s="38"/>
      <c r="AE20" s="38"/>
      <c r="AF20" s="38">
        <v>2</v>
      </c>
      <c r="AG20" s="38"/>
      <c r="AH20" s="38">
        <v>1</v>
      </c>
      <c r="AI20" s="38">
        <v>6</v>
      </c>
      <c r="AK20" s="53">
        <v>85</v>
      </c>
      <c r="AM20" s="37">
        <v>30</v>
      </c>
      <c r="AO20" s="31" t="str">
        <f t="shared" si="0"/>
        <v>RK</v>
      </c>
    </row>
    <row r="21" spans="1:41" ht="14.25" customHeight="1" thickBot="1">
      <c r="A21" s="30" t="s">
        <v>196</v>
      </c>
      <c r="B21" s="31" t="s">
        <v>188</v>
      </c>
      <c r="C21" s="31" t="s">
        <v>185</v>
      </c>
      <c r="D21" s="31">
        <v>79</v>
      </c>
      <c r="E21" s="31">
        <v>3</v>
      </c>
      <c r="F21" s="31" t="s">
        <v>115</v>
      </c>
      <c r="G21" s="31" t="s">
        <v>156</v>
      </c>
      <c r="H21" s="31" t="s">
        <v>128</v>
      </c>
      <c r="I21" s="31">
        <v>115</v>
      </c>
      <c r="J21" s="32" t="s">
        <v>194</v>
      </c>
      <c r="K21" s="32" t="s">
        <v>130</v>
      </c>
      <c r="L21" s="33" t="s">
        <v>194</v>
      </c>
      <c r="M21" s="33" t="s">
        <v>120</v>
      </c>
      <c r="N21" s="36" t="s">
        <v>220</v>
      </c>
      <c r="O21" s="38">
        <v>1</v>
      </c>
      <c r="Q21" s="37" t="s">
        <v>237</v>
      </c>
      <c r="U21" s="36" t="s">
        <v>134</v>
      </c>
      <c r="Y21" s="36" t="s">
        <v>136</v>
      </c>
      <c r="Z21" s="38">
        <v>1</v>
      </c>
      <c r="AA21" s="38">
        <v>2</v>
      </c>
      <c r="AB21" s="38">
        <v>1</v>
      </c>
      <c r="AC21" s="38"/>
      <c r="AD21" s="38"/>
      <c r="AE21" s="38"/>
      <c r="AF21" s="38">
        <v>2</v>
      </c>
      <c r="AG21" s="38"/>
      <c r="AH21" s="38"/>
      <c r="AI21" s="38">
        <v>6</v>
      </c>
      <c r="AK21" s="36" t="s">
        <v>180</v>
      </c>
      <c r="AM21" s="36" t="s">
        <v>182</v>
      </c>
      <c r="AO21" s="31" t="str">
        <f t="shared" si="0"/>
        <v>AP</v>
      </c>
    </row>
    <row r="22" spans="1:41" ht="14.25" customHeight="1" thickBot="1">
      <c r="A22" s="30" t="s">
        <v>197</v>
      </c>
      <c r="B22" s="31" t="s">
        <v>188</v>
      </c>
      <c r="C22" s="31" t="s">
        <v>185</v>
      </c>
      <c r="D22" s="31">
        <v>94</v>
      </c>
      <c r="E22" s="31">
        <v>3</v>
      </c>
      <c r="F22" s="31" t="s">
        <v>115</v>
      </c>
      <c r="G22" s="31" t="s">
        <v>156</v>
      </c>
      <c r="H22" s="31" t="s">
        <v>128</v>
      </c>
      <c r="I22" s="31">
        <v>135</v>
      </c>
      <c r="J22" s="32" t="s">
        <v>194</v>
      </c>
      <c r="K22" s="32" t="s">
        <v>130</v>
      </c>
      <c r="L22" s="33" t="s">
        <v>194</v>
      </c>
      <c r="M22" s="33" t="s">
        <v>120</v>
      </c>
      <c r="N22" s="36" t="s">
        <v>204</v>
      </c>
      <c r="O22" s="38">
        <v>7</v>
      </c>
      <c r="Q22" s="37" t="s">
        <v>242</v>
      </c>
      <c r="U22" s="37" t="s">
        <v>184</v>
      </c>
      <c r="Y22" s="36" t="s">
        <v>163</v>
      </c>
      <c r="Z22" s="38">
        <v>1</v>
      </c>
      <c r="AA22" s="38"/>
      <c r="AB22" s="38"/>
      <c r="AC22" s="38"/>
      <c r="AD22" s="38"/>
      <c r="AE22" s="38">
        <v>1</v>
      </c>
      <c r="AF22" s="38">
        <v>2</v>
      </c>
      <c r="AG22" s="38">
        <v>2</v>
      </c>
      <c r="AH22" s="38"/>
      <c r="AI22" s="38">
        <v>6</v>
      </c>
      <c r="AK22" s="37" t="s">
        <v>157</v>
      </c>
      <c r="AM22" s="37">
        <v>68</v>
      </c>
      <c r="AO22" s="31" t="str">
        <f t="shared" si="0"/>
        <v>NT</v>
      </c>
    </row>
    <row r="23" spans="1:41" ht="14.25" customHeight="1" thickBot="1">
      <c r="A23" s="30" t="s">
        <v>198</v>
      </c>
      <c r="B23" s="31" t="s">
        <v>188</v>
      </c>
      <c r="C23" s="31" t="s">
        <v>125</v>
      </c>
      <c r="D23" s="31">
        <v>95</v>
      </c>
      <c r="E23" s="31">
        <v>5</v>
      </c>
      <c r="F23" s="31" t="s">
        <v>199</v>
      </c>
      <c r="G23" s="31" t="s">
        <v>156</v>
      </c>
      <c r="H23" s="31" t="s">
        <v>128</v>
      </c>
      <c r="I23" s="31">
        <v>30</v>
      </c>
      <c r="J23" s="32" t="s">
        <v>194</v>
      </c>
      <c r="K23" s="32" t="s">
        <v>186</v>
      </c>
      <c r="L23" s="33" t="s">
        <v>194</v>
      </c>
      <c r="M23" s="33" t="s">
        <v>142</v>
      </c>
      <c r="N23" s="36" t="s">
        <v>186</v>
      </c>
      <c r="O23" s="38">
        <v>16</v>
      </c>
      <c r="Q23" s="37" t="s">
        <v>249</v>
      </c>
      <c r="U23" s="40">
        <v>4</v>
      </c>
      <c r="Y23" s="36" t="s">
        <v>199</v>
      </c>
      <c r="Z23" s="38"/>
      <c r="AA23" s="38"/>
      <c r="AB23" s="38"/>
      <c r="AC23" s="38"/>
      <c r="AD23" s="38"/>
      <c r="AE23" s="38"/>
      <c r="AF23" s="38">
        <v>1</v>
      </c>
      <c r="AG23" s="38"/>
      <c r="AH23" s="38">
        <v>1</v>
      </c>
      <c r="AI23" s="38">
        <v>2</v>
      </c>
      <c r="AK23" s="40" t="s">
        <v>181</v>
      </c>
      <c r="AM23" s="36" t="s">
        <v>183</v>
      </c>
      <c r="AO23" s="31" t="str">
        <f t="shared" si="0"/>
        <v>AS</v>
      </c>
    </row>
    <row r="24" spans="1:41" ht="14.25" customHeight="1" thickBot="1">
      <c r="A24" s="30" t="s">
        <v>200</v>
      </c>
      <c r="B24" s="31" t="s">
        <v>134</v>
      </c>
      <c r="C24" s="31" t="s">
        <v>114</v>
      </c>
      <c r="D24" s="31">
        <v>59</v>
      </c>
      <c r="E24" s="31">
        <v>8</v>
      </c>
      <c r="F24" s="31" t="s">
        <v>201</v>
      </c>
      <c r="G24" s="31" t="s">
        <v>127</v>
      </c>
      <c r="H24" s="31" t="s">
        <v>128</v>
      </c>
      <c r="I24" s="31">
        <v>67</v>
      </c>
      <c r="J24" s="32" t="s">
        <v>194</v>
      </c>
      <c r="K24" s="32" t="s">
        <v>186</v>
      </c>
      <c r="L24" s="33" t="s">
        <v>194</v>
      </c>
      <c r="M24" s="33" t="s">
        <v>171</v>
      </c>
      <c r="N24" s="36" t="s">
        <v>130</v>
      </c>
      <c r="O24" s="38">
        <v>12</v>
      </c>
      <c r="Q24" s="36" t="s">
        <v>261</v>
      </c>
      <c r="U24" s="37" t="s">
        <v>200</v>
      </c>
      <c r="Y24" s="36" t="s">
        <v>214</v>
      </c>
      <c r="Z24" s="38">
        <v>6</v>
      </c>
      <c r="AA24" s="38"/>
      <c r="AB24" s="38"/>
      <c r="AC24" s="38"/>
      <c r="AD24" s="38"/>
      <c r="AE24" s="38">
        <v>2</v>
      </c>
      <c r="AF24" s="38">
        <v>1</v>
      </c>
      <c r="AG24" s="38">
        <v>1</v>
      </c>
      <c r="AH24" s="38"/>
      <c r="AI24" s="38">
        <v>10</v>
      </c>
      <c r="AK24" s="53">
        <v>30</v>
      </c>
      <c r="AM24" s="37">
        <v>71</v>
      </c>
      <c r="AO24" s="31" t="str">
        <f t="shared" si="0"/>
        <v>AS</v>
      </c>
    </row>
    <row r="25" spans="1:41" ht="14.25" customHeight="1" thickBot="1">
      <c r="A25" s="30" t="s">
        <v>202</v>
      </c>
      <c r="B25" s="31" t="s">
        <v>113</v>
      </c>
      <c r="C25" s="31" t="s">
        <v>125</v>
      </c>
      <c r="D25" s="31">
        <v>36</v>
      </c>
      <c r="E25" s="31">
        <v>3</v>
      </c>
      <c r="F25" s="31" t="s">
        <v>201</v>
      </c>
      <c r="G25" s="31" t="s">
        <v>137</v>
      </c>
      <c r="H25" s="31" t="s">
        <v>138</v>
      </c>
      <c r="I25" s="31">
        <v>64</v>
      </c>
      <c r="J25" s="32" t="s">
        <v>203</v>
      </c>
      <c r="K25" s="32" t="s">
        <v>204</v>
      </c>
      <c r="L25" s="33" t="s">
        <v>203</v>
      </c>
      <c r="M25" s="33" t="s">
        <v>171</v>
      </c>
      <c r="N25" s="36" t="s">
        <v>211</v>
      </c>
      <c r="O25" s="38">
        <v>5</v>
      </c>
      <c r="U25" s="40">
        <v>8</v>
      </c>
      <c r="Y25" s="36" t="s">
        <v>201</v>
      </c>
      <c r="Z25" s="38">
        <v>5</v>
      </c>
      <c r="AA25" s="38"/>
      <c r="AB25" s="38"/>
      <c r="AC25" s="38"/>
      <c r="AD25" s="38"/>
      <c r="AE25" s="38">
        <v>2</v>
      </c>
      <c r="AF25" s="38">
        <v>4</v>
      </c>
      <c r="AG25" s="38">
        <v>3</v>
      </c>
      <c r="AH25" s="38">
        <v>3</v>
      </c>
      <c r="AI25" s="38">
        <v>17</v>
      </c>
      <c r="AK25" s="36" t="s">
        <v>182</v>
      </c>
      <c r="AM25" s="36" t="s">
        <v>184</v>
      </c>
      <c r="AO25" s="31" t="str">
        <f t="shared" si="0"/>
        <v>TK</v>
      </c>
    </row>
    <row r="26" spans="1:41" ht="14.25" customHeight="1" thickBot="1">
      <c r="A26" s="30" t="s">
        <v>205</v>
      </c>
      <c r="B26" s="31" t="s">
        <v>153</v>
      </c>
      <c r="C26" s="31" t="s">
        <v>135</v>
      </c>
      <c r="D26" s="31">
        <v>60</v>
      </c>
      <c r="E26" s="31">
        <v>10</v>
      </c>
      <c r="F26" s="31" t="s">
        <v>201</v>
      </c>
      <c r="G26" s="31" t="s">
        <v>148</v>
      </c>
      <c r="H26" s="31" t="s">
        <v>117</v>
      </c>
      <c r="I26" s="31">
        <v>119</v>
      </c>
      <c r="J26" s="32" t="s">
        <v>206</v>
      </c>
      <c r="K26" s="32" t="s">
        <v>119</v>
      </c>
      <c r="L26" s="33" t="s">
        <v>207</v>
      </c>
      <c r="M26" s="33" t="s">
        <v>120</v>
      </c>
      <c r="N26" s="36" t="s">
        <v>261</v>
      </c>
      <c r="O26" s="38">
        <v>71</v>
      </c>
      <c r="U26" s="37" t="s">
        <v>168</v>
      </c>
      <c r="Y26" s="36" t="s">
        <v>147</v>
      </c>
      <c r="Z26" s="38">
        <v>2</v>
      </c>
      <c r="AA26" s="38"/>
      <c r="AB26" s="38"/>
      <c r="AC26" s="38"/>
      <c r="AD26" s="38"/>
      <c r="AE26" s="38">
        <v>1</v>
      </c>
      <c r="AF26" s="38">
        <v>2</v>
      </c>
      <c r="AG26" s="38">
        <v>1</v>
      </c>
      <c r="AH26" s="38"/>
      <c r="AI26" s="38">
        <v>6</v>
      </c>
      <c r="AK26" s="37" t="s">
        <v>165</v>
      </c>
      <c r="AM26" s="37">
        <v>66</v>
      </c>
      <c r="AO26" s="31" t="str">
        <f t="shared" si="0"/>
        <v>RK</v>
      </c>
    </row>
    <row r="27" spans="1:41" ht="14.25" customHeight="1" thickBot="1">
      <c r="A27" s="30" t="s">
        <v>208</v>
      </c>
      <c r="B27" s="31" t="s">
        <v>113</v>
      </c>
      <c r="C27" s="31" t="s">
        <v>146</v>
      </c>
      <c r="D27" s="31">
        <v>81</v>
      </c>
      <c r="E27" s="31">
        <v>2</v>
      </c>
      <c r="F27" s="31" t="s">
        <v>201</v>
      </c>
      <c r="G27" s="31" t="s">
        <v>156</v>
      </c>
      <c r="H27" s="31" t="s">
        <v>128</v>
      </c>
      <c r="I27" s="31">
        <v>75</v>
      </c>
      <c r="J27" s="32" t="s">
        <v>118</v>
      </c>
      <c r="K27" s="32" t="s">
        <v>119</v>
      </c>
      <c r="L27" s="33" t="s">
        <v>118</v>
      </c>
      <c r="M27" s="33" t="s">
        <v>171</v>
      </c>
      <c r="U27" s="40">
        <v>7</v>
      </c>
      <c r="Y27" s="36" t="s">
        <v>261</v>
      </c>
      <c r="Z27" s="38">
        <v>24</v>
      </c>
      <c r="AA27" s="38">
        <v>3</v>
      </c>
      <c r="AB27" s="38">
        <v>1</v>
      </c>
      <c r="AC27" s="38">
        <v>2</v>
      </c>
      <c r="AD27" s="38">
        <v>1</v>
      </c>
      <c r="AE27" s="38">
        <v>7</v>
      </c>
      <c r="AF27" s="38">
        <v>16</v>
      </c>
      <c r="AG27" s="38">
        <v>12</v>
      </c>
      <c r="AH27" s="38">
        <v>5</v>
      </c>
      <c r="AI27" s="38">
        <v>71</v>
      </c>
      <c r="AK27" s="40" t="s">
        <v>113</v>
      </c>
      <c r="AM27" s="36" t="s">
        <v>187</v>
      </c>
      <c r="AO27" s="31" t="str">
        <f t="shared" si="0"/>
        <v>AP</v>
      </c>
    </row>
    <row r="28" spans="1:41" ht="14.25" customHeight="1" thickBot="1">
      <c r="A28" s="30" t="s">
        <v>209</v>
      </c>
      <c r="B28" s="31" t="s">
        <v>134</v>
      </c>
      <c r="C28" s="31" t="s">
        <v>154</v>
      </c>
      <c r="D28" s="31">
        <v>49</v>
      </c>
      <c r="E28" s="31">
        <v>5</v>
      </c>
      <c r="F28" s="31" t="s">
        <v>201</v>
      </c>
      <c r="G28" s="31" t="s">
        <v>164</v>
      </c>
      <c r="H28" s="31" t="s">
        <v>138</v>
      </c>
      <c r="I28" s="31">
        <v>14</v>
      </c>
      <c r="J28" s="32" t="s">
        <v>129</v>
      </c>
      <c r="K28" s="32" t="s">
        <v>130</v>
      </c>
      <c r="L28" s="33" t="s">
        <v>129</v>
      </c>
      <c r="M28" s="33" t="s">
        <v>142</v>
      </c>
      <c r="U28" s="36" t="s">
        <v>113</v>
      </c>
      <c r="AK28" s="53">
        <v>68</v>
      </c>
      <c r="AM28" s="37">
        <v>49</v>
      </c>
      <c r="AO28" s="31" t="str">
        <f t="shared" si="0"/>
        <v>NT</v>
      </c>
    </row>
    <row r="29" spans="1:41" ht="14.25" customHeight="1" thickBot="1">
      <c r="A29" s="30" t="s">
        <v>210</v>
      </c>
      <c r="B29" s="31" t="s">
        <v>175</v>
      </c>
      <c r="C29" s="31" t="s">
        <v>162</v>
      </c>
      <c r="D29" s="31">
        <v>94</v>
      </c>
      <c r="E29" s="31">
        <v>7</v>
      </c>
      <c r="F29" s="31" t="s">
        <v>201</v>
      </c>
      <c r="G29" s="31" t="s">
        <v>169</v>
      </c>
      <c r="H29" s="31" t="s">
        <v>117</v>
      </c>
      <c r="I29" s="31">
        <v>138</v>
      </c>
      <c r="J29" s="32" t="s">
        <v>139</v>
      </c>
      <c r="K29" s="32" t="s">
        <v>211</v>
      </c>
      <c r="L29" s="33" t="s">
        <v>141</v>
      </c>
      <c r="M29" s="33" t="s">
        <v>120</v>
      </c>
      <c r="U29" s="37" t="s">
        <v>182</v>
      </c>
      <c r="AK29" s="36" t="s">
        <v>183</v>
      </c>
      <c r="AM29" s="36" t="s">
        <v>189</v>
      </c>
      <c r="AO29" s="31" t="str">
        <f t="shared" si="0"/>
        <v>SRP</v>
      </c>
    </row>
    <row r="30" spans="1:41" ht="14.25" customHeight="1" thickBot="1">
      <c r="A30" s="30" t="s">
        <v>212</v>
      </c>
      <c r="B30" s="31" t="s">
        <v>179</v>
      </c>
      <c r="C30" s="31" t="s">
        <v>114</v>
      </c>
      <c r="D30" s="31">
        <v>63</v>
      </c>
      <c r="E30" s="31">
        <v>1</v>
      </c>
      <c r="F30" s="31" t="s">
        <v>201</v>
      </c>
      <c r="G30" s="31" t="s">
        <v>116</v>
      </c>
      <c r="H30" s="31" t="s">
        <v>128</v>
      </c>
      <c r="I30" s="31">
        <v>101</v>
      </c>
      <c r="J30" s="32" t="s">
        <v>149</v>
      </c>
      <c r="K30" s="32" t="s">
        <v>186</v>
      </c>
      <c r="L30" s="33" t="s">
        <v>149</v>
      </c>
      <c r="M30" s="33" t="s">
        <v>120</v>
      </c>
      <c r="U30" s="40">
        <v>6</v>
      </c>
      <c r="AK30" s="37" t="s">
        <v>129</v>
      </c>
      <c r="AM30" s="37">
        <v>76</v>
      </c>
      <c r="AO30" s="31" t="str">
        <f t="shared" si="0"/>
        <v>SRP</v>
      </c>
    </row>
    <row r="31" spans="1:41" ht="14.25" customHeight="1" thickBot="1">
      <c r="A31" s="30" t="s">
        <v>213</v>
      </c>
      <c r="B31" s="31" t="s">
        <v>181</v>
      </c>
      <c r="C31" s="31" t="s">
        <v>125</v>
      </c>
      <c r="D31" s="31">
        <v>38</v>
      </c>
      <c r="E31" s="31">
        <v>3</v>
      </c>
      <c r="F31" s="31" t="s">
        <v>214</v>
      </c>
      <c r="G31" s="31" t="s">
        <v>127</v>
      </c>
      <c r="H31" s="31" t="s">
        <v>138</v>
      </c>
      <c r="I31" s="31">
        <v>179</v>
      </c>
      <c r="J31" s="32" t="s">
        <v>157</v>
      </c>
      <c r="K31" s="32" t="s">
        <v>186</v>
      </c>
      <c r="L31" s="33" t="s">
        <v>158</v>
      </c>
      <c r="M31" s="33" t="s">
        <v>120</v>
      </c>
      <c r="U31" s="37" t="s">
        <v>202</v>
      </c>
      <c r="AK31" s="40" t="s">
        <v>124</v>
      </c>
      <c r="AM31" s="36" t="s">
        <v>190</v>
      </c>
      <c r="AO31" s="31" t="str">
        <f t="shared" si="0"/>
        <v>AS</v>
      </c>
    </row>
    <row r="32" spans="1:41" ht="14.25" customHeight="1" thickBot="1">
      <c r="A32" s="30" t="s">
        <v>215</v>
      </c>
      <c r="B32" s="31" t="s">
        <v>11</v>
      </c>
      <c r="C32" s="31" t="s">
        <v>135</v>
      </c>
      <c r="D32" s="31">
        <v>78</v>
      </c>
      <c r="E32" s="31">
        <v>1</v>
      </c>
      <c r="F32" s="31" t="s">
        <v>214</v>
      </c>
      <c r="G32" s="31" t="s">
        <v>137</v>
      </c>
      <c r="H32" s="31" t="s">
        <v>117</v>
      </c>
      <c r="I32" s="31">
        <v>40</v>
      </c>
      <c r="J32" s="32" t="s">
        <v>165</v>
      </c>
      <c r="K32" s="32" t="s">
        <v>204</v>
      </c>
      <c r="L32" s="33" t="s">
        <v>165</v>
      </c>
      <c r="M32" s="33" t="s">
        <v>142</v>
      </c>
      <c r="U32" s="40">
        <v>3</v>
      </c>
      <c r="AK32" s="53">
        <v>71</v>
      </c>
      <c r="AM32" s="37">
        <v>48</v>
      </c>
      <c r="AO32" s="31" t="str">
        <f t="shared" si="0"/>
        <v>TK</v>
      </c>
    </row>
    <row r="33" spans="1:41" ht="14.25" customHeight="1" thickBot="1">
      <c r="A33" s="30" t="s">
        <v>216</v>
      </c>
      <c r="B33" s="31" t="s">
        <v>11</v>
      </c>
      <c r="C33" s="31" t="s">
        <v>146</v>
      </c>
      <c r="D33" s="31">
        <v>95</v>
      </c>
      <c r="E33" s="31">
        <v>4</v>
      </c>
      <c r="F33" s="31" t="s">
        <v>214</v>
      </c>
      <c r="G33" s="31" t="s">
        <v>137</v>
      </c>
      <c r="H33" s="31" t="s">
        <v>128</v>
      </c>
      <c r="I33" s="31">
        <v>126</v>
      </c>
      <c r="J33" s="32" t="s">
        <v>129</v>
      </c>
      <c r="K33" s="32" t="s">
        <v>119</v>
      </c>
      <c r="L33" s="33" t="s">
        <v>129</v>
      </c>
      <c r="M33" s="33" t="s">
        <v>120</v>
      </c>
      <c r="U33" s="37" t="s">
        <v>208</v>
      </c>
      <c r="AK33" s="36" t="s">
        <v>184</v>
      </c>
      <c r="AM33" s="36" t="s">
        <v>192</v>
      </c>
      <c r="AO33" s="31" t="str">
        <f t="shared" si="0"/>
        <v>RK</v>
      </c>
    </row>
    <row r="34" spans="1:41" ht="14.25" customHeight="1" thickBot="1">
      <c r="A34" s="30" t="s">
        <v>217</v>
      </c>
      <c r="B34" s="31" t="s">
        <v>11</v>
      </c>
      <c r="C34" s="31" t="s">
        <v>114</v>
      </c>
      <c r="D34" s="31">
        <v>97</v>
      </c>
      <c r="E34" s="31">
        <v>9</v>
      </c>
      <c r="F34" s="31" t="s">
        <v>214</v>
      </c>
      <c r="G34" s="31" t="s">
        <v>137</v>
      </c>
      <c r="H34" s="31" t="s">
        <v>138</v>
      </c>
      <c r="I34" s="31">
        <v>11</v>
      </c>
      <c r="J34" s="32" t="s">
        <v>139</v>
      </c>
      <c r="K34" s="32" t="s">
        <v>119</v>
      </c>
      <c r="L34" s="33" t="s">
        <v>141</v>
      </c>
      <c r="M34" s="33" t="s">
        <v>142</v>
      </c>
      <c r="U34" s="40">
        <v>2</v>
      </c>
      <c r="AK34" s="37" t="s">
        <v>139</v>
      </c>
      <c r="AM34" s="37">
        <v>99</v>
      </c>
      <c r="AO34" s="31" t="str">
        <f t="shared" si="0"/>
        <v>AP</v>
      </c>
    </row>
    <row r="35" spans="1:41" ht="14.25" customHeight="1" thickBot="1">
      <c r="A35" s="30" t="s">
        <v>218</v>
      </c>
      <c r="B35" s="31" t="s">
        <v>11</v>
      </c>
      <c r="C35" s="31" t="s">
        <v>125</v>
      </c>
      <c r="D35" s="31">
        <v>95</v>
      </c>
      <c r="E35" s="31">
        <v>9</v>
      </c>
      <c r="F35" s="31" t="s">
        <v>214</v>
      </c>
      <c r="G35" s="31" t="s">
        <v>137</v>
      </c>
      <c r="H35" s="31" t="s">
        <v>117</v>
      </c>
      <c r="I35" s="31">
        <v>90</v>
      </c>
      <c r="J35" s="32" t="s">
        <v>149</v>
      </c>
      <c r="K35" s="32" t="s">
        <v>130</v>
      </c>
      <c r="L35" s="33" t="s">
        <v>149</v>
      </c>
      <c r="M35" s="33" t="s">
        <v>120</v>
      </c>
      <c r="U35" s="37" t="s">
        <v>232</v>
      </c>
      <c r="AK35" s="40" t="s">
        <v>134</v>
      </c>
      <c r="AM35" s="36" t="s">
        <v>193</v>
      </c>
      <c r="AO35" s="31" t="str">
        <f t="shared" si="0"/>
        <v>NT</v>
      </c>
    </row>
    <row r="36" spans="1:41" ht="14.25" customHeight="1" thickBot="1">
      <c r="A36" s="30" t="s">
        <v>219</v>
      </c>
      <c r="B36" s="31" t="s">
        <v>11</v>
      </c>
      <c r="C36" s="31" t="s">
        <v>135</v>
      </c>
      <c r="D36" s="31">
        <v>44</v>
      </c>
      <c r="E36" s="31">
        <v>7</v>
      </c>
      <c r="F36" s="31" t="s">
        <v>115</v>
      </c>
      <c r="G36" s="31" t="s">
        <v>137</v>
      </c>
      <c r="H36" s="31" t="s">
        <v>128</v>
      </c>
      <c r="I36" s="31">
        <v>46</v>
      </c>
      <c r="J36" s="32" t="s">
        <v>157</v>
      </c>
      <c r="K36" s="32" t="s">
        <v>220</v>
      </c>
      <c r="L36" s="33" t="s">
        <v>158</v>
      </c>
      <c r="M36" s="33" t="s">
        <v>171</v>
      </c>
      <c r="U36" s="40">
        <v>6</v>
      </c>
      <c r="AK36" s="53">
        <v>66</v>
      </c>
      <c r="AM36" s="37">
        <v>33</v>
      </c>
      <c r="AO36" s="31" t="str">
        <f t="shared" si="0"/>
        <v>SRP</v>
      </c>
    </row>
    <row r="37" spans="1:41" ht="14.25" customHeight="1" thickBot="1">
      <c r="A37" s="30" t="s">
        <v>221</v>
      </c>
      <c r="B37" s="31" t="s">
        <v>11</v>
      </c>
      <c r="C37" s="31" t="s">
        <v>146</v>
      </c>
      <c r="D37" s="31">
        <v>77</v>
      </c>
      <c r="E37" s="31">
        <v>4</v>
      </c>
      <c r="F37" s="31" t="s">
        <v>126</v>
      </c>
      <c r="G37" s="31" t="s">
        <v>137</v>
      </c>
      <c r="H37" s="31" t="s">
        <v>138</v>
      </c>
      <c r="I37" s="31">
        <v>36</v>
      </c>
      <c r="J37" s="32" t="s">
        <v>165</v>
      </c>
      <c r="K37" s="32" t="s">
        <v>186</v>
      </c>
      <c r="L37" s="33" t="s">
        <v>165</v>
      </c>
      <c r="M37" s="33" t="s">
        <v>142</v>
      </c>
      <c r="U37" s="36" t="s">
        <v>188</v>
      </c>
      <c r="AK37" s="36" t="s">
        <v>187</v>
      </c>
      <c r="AM37" s="36" t="s">
        <v>195</v>
      </c>
      <c r="AO37" s="31" t="str">
        <f t="shared" si="0"/>
        <v>SRP</v>
      </c>
    </row>
    <row r="38" spans="1:41" ht="14.25" customHeight="1" thickBot="1">
      <c r="A38" s="30" t="s">
        <v>222</v>
      </c>
      <c r="B38" s="31" t="s">
        <v>11</v>
      </c>
      <c r="C38" s="31" t="s">
        <v>154</v>
      </c>
      <c r="D38" s="31">
        <v>43</v>
      </c>
      <c r="E38" s="31">
        <v>4</v>
      </c>
      <c r="F38" s="31" t="s">
        <v>136</v>
      </c>
      <c r="G38" s="31" t="s">
        <v>137</v>
      </c>
      <c r="H38" s="31" t="s">
        <v>117</v>
      </c>
      <c r="I38" s="31">
        <v>177</v>
      </c>
      <c r="J38" s="32" t="s">
        <v>129</v>
      </c>
      <c r="K38" s="32" t="s">
        <v>186</v>
      </c>
      <c r="L38" s="33" t="s">
        <v>129</v>
      </c>
      <c r="M38" s="33" t="s">
        <v>120</v>
      </c>
      <c r="U38" s="37" t="s">
        <v>190</v>
      </c>
      <c r="AK38" s="37" t="s">
        <v>149</v>
      </c>
      <c r="AM38" s="37">
        <v>25</v>
      </c>
      <c r="AO38" s="31" t="str">
        <f t="shared" si="0"/>
        <v>AS</v>
      </c>
    </row>
    <row r="39" spans="1:41" ht="14.25" customHeight="1" thickBot="1">
      <c r="A39" s="30" t="s">
        <v>223</v>
      </c>
      <c r="B39" s="31" t="s">
        <v>175</v>
      </c>
      <c r="C39" s="31" t="s">
        <v>162</v>
      </c>
      <c r="D39" s="31">
        <v>31</v>
      </c>
      <c r="E39" s="31">
        <v>4</v>
      </c>
      <c r="F39" s="31" t="s">
        <v>147</v>
      </c>
      <c r="G39" s="31" t="s">
        <v>137</v>
      </c>
      <c r="H39" s="31" t="s">
        <v>128</v>
      </c>
      <c r="I39" s="31">
        <v>118</v>
      </c>
      <c r="J39" s="32" t="s">
        <v>139</v>
      </c>
      <c r="K39" s="32" t="s">
        <v>204</v>
      </c>
      <c r="L39" s="33" t="s">
        <v>141</v>
      </c>
      <c r="M39" s="33" t="s">
        <v>120</v>
      </c>
      <c r="U39" s="40">
        <v>3</v>
      </c>
      <c r="AK39" s="40" t="s">
        <v>188</v>
      </c>
      <c r="AM39" s="36" t="s">
        <v>196</v>
      </c>
      <c r="AO39" s="31" t="str">
        <f t="shared" si="0"/>
        <v>AS</v>
      </c>
    </row>
    <row r="40" spans="1:41" ht="14.25" customHeight="1" thickBot="1">
      <c r="A40" s="30" t="s">
        <v>224</v>
      </c>
      <c r="B40" s="31" t="s">
        <v>179</v>
      </c>
      <c r="C40" s="31" t="s">
        <v>114</v>
      </c>
      <c r="D40" s="31">
        <v>12</v>
      </c>
      <c r="E40" s="31">
        <v>7</v>
      </c>
      <c r="F40" s="31" t="s">
        <v>155</v>
      </c>
      <c r="G40" s="31" t="s">
        <v>137</v>
      </c>
      <c r="H40" s="31" t="s">
        <v>128</v>
      </c>
      <c r="I40" s="31">
        <v>177</v>
      </c>
      <c r="J40" s="32" t="s">
        <v>149</v>
      </c>
      <c r="K40" s="32" t="s">
        <v>119</v>
      </c>
      <c r="L40" s="33" t="s">
        <v>149</v>
      </c>
      <c r="M40" s="33" t="s">
        <v>120</v>
      </c>
      <c r="U40" s="36" t="s">
        <v>124</v>
      </c>
      <c r="AK40" s="53">
        <v>49</v>
      </c>
      <c r="AM40" s="37">
        <v>79</v>
      </c>
      <c r="AO40" s="31" t="str">
        <f t="shared" si="0"/>
        <v>AS</v>
      </c>
    </row>
    <row r="41" spans="1:41" ht="14.25" customHeight="1" thickBot="1">
      <c r="A41" s="30" t="s">
        <v>225</v>
      </c>
      <c r="B41" s="31" t="s">
        <v>181</v>
      </c>
      <c r="C41" s="31" t="s">
        <v>114</v>
      </c>
      <c r="D41" s="31">
        <v>4</v>
      </c>
      <c r="E41" s="31">
        <v>10</v>
      </c>
      <c r="F41" s="31" t="s">
        <v>163</v>
      </c>
      <c r="G41" s="31" t="s">
        <v>156</v>
      </c>
      <c r="H41" s="31" t="s">
        <v>128</v>
      </c>
      <c r="I41" s="31">
        <v>171</v>
      </c>
      <c r="J41" s="32" t="s">
        <v>157</v>
      </c>
      <c r="K41" s="32" t="s">
        <v>119</v>
      </c>
      <c r="L41" s="33" t="s">
        <v>158</v>
      </c>
      <c r="M41" s="33" t="s">
        <v>120</v>
      </c>
      <c r="U41" s="37" t="s">
        <v>227</v>
      </c>
      <c r="AK41" s="36" t="s">
        <v>189</v>
      </c>
      <c r="AM41" s="36" t="s">
        <v>197</v>
      </c>
      <c r="AO41" s="31" t="str">
        <f t="shared" si="0"/>
        <v>TK</v>
      </c>
    </row>
    <row r="42" spans="1:41" ht="14.25" customHeight="1" thickBot="1">
      <c r="A42" s="30" t="s">
        <v>226</v>
      </c>
      <c r="B42" s="31" t="s">
        <v>113</v>
      </c>
      <c r="C42" s="31" t="s">
        <v>125</v>
      </c>
      <c r="D42" s="31">
        <v>25</v>
      </c>
      <c r="E42" s="31">
        <v>8</v>
      </c>
      <c r="F42" s="31" t="s">
        <v>126</v>
      </c>
      <c r="G42" s="31" t="s">
        <v>164</v>
      </c>
      <c r="H42" s="31" t="s">
        <v>128</v>
      </c>
      <c r="I42" s="31">
        <v>18</v>
      </c>
      <c r="J42" s="32" t="s">
        <v>191</v>
      </c>
      <c r="K42" s="32" t="s">
        <v>130</v>
      </c>
      <c r="L42" s="33" t="s">
        <v>191</v>
      </c>
      <c r="M42" s="33" t="s">
        <v>142</v>
      </c>
      <c r="U42" s="40">
        <v>2</v>
      </c>
      <c r="AK42" s="37" t="s">
        <v>157</v>
      </c>
      <c r="AM42" s="37">
        <v>94</v>
      </c>
      <c r="AO42" s="31" t="str">
        <f t="shared" si="0"/>
        <v>RK</v>
      </c>
    </row>
    <row r="43" spans="1:41" ht="14.25" customHeight="1" thickBot="1">
      <c r="A43" s="30" t="s">
        <v>227</v>
      </c>
      <c r="B43" s="31" t="s">
        <v>124</v>
      </c>
      <c r="C43" s="31" t="s">
        <v>135</v>
      </c>
      <c r="D43" s="31">
        <v>58</v>
      </c>
      <c r="E43" s="31">
        <v>2</v>
      </c>
      <c r="F43" s="31" t="s">
        <v>136</v>
      </c>
      <c r="G43" s="31" t="s">
        <v>169</v>
      </c>
      <c r="H43" s="31" t="s">
        <v>128</v>
      </c>
      <c r="I43" s="31">
        <v>75</v>
      </c>
      <c r="J43" s="32" t="s">
        <v>191</v>
      </c>
      <c r="K43" s="32" t="s">
        <v>228</v>
      </c>
      <c r="L43" s="33" t="s">
        <v>191</v>
      </c>
      <c r="M43" s="33" t="s">
        <v>171</v>
      </c>
      <c r="U43" s="36" t="s">
        <v>236</v>
      </c>
      <c r="AK43" s="40" t="s">
        <v>188</v>
      </c>
      <c r="AM43" s="36" t="s">
        <v>198</v>
      </c>
      <c r="AO43" s="31" t="str">
        <f t="shared" si="0"/>
        <v>AP</v>
      </c>
    </row>
    <row r="44" spans="1:41" ht="14.25" customHeight="1" thickBot="1">
      <c r="A44" s="30" t="s">
        <v>229</v>
      </c>
      <c r="B44" s="31" t="s">
        <v>134</v>
      </c>
      <c r="C44" s="31" t="s">
        <v>146</v>
      </c>
      <c r="D44" s="31">
        <v>23</v>
      </c>
      <c r="E44" s="31">
        <v>10</v>
      </c>
      <c r="F44" s="31" t="s">
        <v>147</v>
      </c>
      <c r="G44" s="31" t="s">
        <v>116</v>
      </c>
      <c r="H44" s="31" t="s">
        <v>128</v>
      </c>
      <c r="I44" s="31">
        <v>141</v>
      </c>
      <c r="J44" s="32" t="s">
        <v>118</v>
      </c>
      <c r="K44" s="32" t="s">
        <v>186</v>
      </c>
      <c r="L44" s="33" t="s">
        <v>118</v>
      </c>
      <c r="M44" s="33" t="s">
        <v>120</v>
      </c>
      <c r="U44" s="37" t="s">
        <v>244</v>
      </c>
      <c r="AK44" s="53">
        <v>76</v>
      </c>
      <c r="AM44" s="37">
        <v>95</v>
      </c>
      <c r="AO44" s="31" t="str">
        <f t="shared" si="0"/>
        <v>NT</v>
      </c>
    </row>
    <row r="45" spans="1:41" ht="14.25" customHeight="1" thickBot="1">
      <c r="A45" s="30" t="s">
        <v>230</v>
      </c>
      <c r="B45" s="31" t="s">
        <v>113</v>
      </c>
      <c r="C45" s="31" t="s">
        <v>114</v>
      </c>
      <c r="D45" s="31">
        <v>85</v>
      </c>
      <c r="E45" s="31">
        <v>6</v>
      </c>
      <c r="F45" s="31" t="s">
        <v>155</v>
      </c>
      <c r="G45" s="31" t="s">
        <v>127</v>
      </c>
      <c r="H45" s="31" t="s">
        <v>128</v>
      </c>
      <c r="I45" s="31">
        <v>127</v>
      </c>
      <c r="J45" s="32" t="s">
        <v>129</v>
      </c>
      <c r="K45" s="32" t="s">
        <v>186</v>
      </c>
      <c r="L45" s="33" t="s">
        <v>129</v>
      </c>
      <c r="M45" s="33" t="s">
        <v>120</v>
      </c>
      <c r="U45" s="40">
        <v>4</v>
      </c>
      <c r="AK45" s="36" t="s">
        <v>190</v>
      </c>
      <c r="AM45" s="36" t="s">
        <v>200</v>
      </c>
      <c r="AO45" s="31" t="str">
        <f t="shared" si="0"/>
        <v>AS</v>
      </c>
    </row>
    <row r="46" spans="1:41" ht="14.25" customHeight="1" thickBot="1">
      <c r="A46" s="30" t="s">
        <v>231</v>
      </c>
      <c r="B46" s="31" t="s">
        <v>153</v>
      </c>
      <c r="C46" s="31" t="s">
        <v>125</v>
      </c>
      <c r="D46" s="31">
        <v>41</v>
      </c>
      <c r="E46" s="31">
        <v>1</v>
      </c>
      <c r="F46" s="31" t="s">
        <v>163</v>
      </c>
      <c r="G46" s="31" t="s">
        <v>137</v>
      </c>
      <c r="H46" s="31" t="s">
        <v>128</v>
      </c>
      <c r="I46" s="31">
        <v>154</v>
      </c>
      <c r="J46" s="32" t="s">
        <v>139</v>
      </c>
      <c r="K46" s="32" t="s">
        <v>204</v>
      </c>
      <c r="L46" s="33" t="s">
        <v>141</v>
      </c>
      <c r="M46" s="33" t="s">
        <v>120</v>
      </c>
      <c r="U46" s="37" t="s">
        <v>246</v>
      </c>
      <c r="AK46" s="37" t="s">
        <v>191</v>
      </c>
      <c r="AM46" s="37">
        <v>59</v>
      </c>
      <c r="AO46" s="31" t="str">
        <f t="shared" si="0"/>
        <v>AS</v>
      </c>
    </row>
    <row r="47" spans="1:41" ht="14.25" customHeight="1" thickBot="1">
      <c r="A47" s="30" t="s">
        <v>232</v>
      </c>
      <c r="B47" s="31" t="s">
        <v>113</v>
      </c>
      <c r="C47" s="31" t="s">
        <v>135</v>
      </c>
      <c r="D47" s="31">
        <v>58</v>
      </c>
      <c r="E47" s="31">
        <v>6</v>
      </c>
      <c r="F47" s="31" t="s">
        <v>126</v>
      </c>
      <c r="G47" s="31" t="s">
        <v>148</v>
      </c>
      <c r="H47" s="31" t="s">
        <v>128</v>
      </c>
      <c r="I47" s="31">
        <v>51</v>
      </c>
      <c r="J47" s="32" t="s">
        <v>149</v>
      </c>
      <c r="K47" s="32" t="s">
        <v>119</v>
      </c>
      <c r="L47" s="33" t="s">
        <v>149</v>
      </c>
      <c r="M47" s="33" t="s">
        <v>171</v>
      </c>
      <c r="U47" s="40">
        <v>6</v>
      </c>
      <c r="AK47" s="40" t="s">
        <v>188</v>
      </c>
      <c r="AM47" s="36" t="s">
        <v>202</v>
      </c>
      <c r="AO47" s="31" t="str">
        <f t="shared" si="0"/>
        <v>TK</v>
      </c>
    </row>
    <row r="48" spans="1:41" ht="14.25" customHeight="1" thickBot="1">
      <c r="A48" s="30" t="s">
        <v>233</v>
      </c>
      <c r="B48" s="31" t="s">
        <v>134</v>
      </c>
      <c r="C48" s="31" t="s">
        <v>146</v>
      </c>
      <c r="D48" s="31">
        <v>28</v>
      </c>
      <c r="E48" s="31">
        <v>4</v>
      </c>
      <c r="F48" s="31" t="s">
        <v>136</v>
      </c>
      <c r="G48" s="31" t="s">
        <v>156</v>
      </c>
      <c r="H48" s="31" t="s">
        <v>128</v>
      </c>
      <c r="I48" s="31">
        <v>122</v>
      </c>
      <c r="J48" s="32" t="s">
        <v>157</v>
      </c>
      <c r="K48" s="32" t="s">
        <v>119</v>
      </c>
      <c r="L48" s="33" t="s">
        <v>158</v>
      </c>
      <c r="M48" s="33" t="s">
        <v>120</v>
      </c>
      <c r="U48" s="36" t="s">
        <v>179</v>
      </c>
      <c r="AK48" s="53">
        <v>48</v>
      </c>
      <c r="AM48" s="37">
        <v>36</v>
      </c>
      <c r="AO48" s="31" t="str">
        <f t="shared" si="0"/>
        <v>RK</v>
      </c>
    </row>
    <row r="49" spans="1:41" ht="14.25" customHeight="1" thickBot="1">
      <c r="A49" s="30" t="s">
        <v>234</v>
      </c>
      <c r="B49" s="31" t="s">
        <v>175</v>
      </c>
      <c r="C49" s="31" t="s">
        <v>154</v>
      </c>
      <c r="D49" s="31">
        <v>64</v>
      </c>
      <c r="E49" s="31">
        <v>7</v>
      </c>
      <c r="F49" s="31" t="s">
        <v>147</v>
      </c>
      <c r="G49" s="31" t="s">
        <v>164</v>
      </c>
      <c r="H49" s="31" t="s">
        <v>138</v>
      </c>
      <c r="I49" s="31">
        <v>44</v>
      </c>
      <c r="J49" s="32" t="s">
        <v>165</v>
      </c>
      <c r="K49" s="32" t="s">
        <v>130</v>
      </c>
      <c r="L49" s="33" t="s">
        <v>165</v>
      </c>
      <c r="M49" s="33" t="s">
        <v>142</v>
      </c>
      <c r="U49" s="37" t="s">
        <v>178</v>
      </c>
      <c r="AK49" s="36" t="s">
        <v>192</v>
      </c>
      <c r="AM49" s="36" t="s">
        <v>205</v>
      </c>
      <c r="AO49" s="31" t="str">
        <f t="shared" si="0"/>
        <v>AS</v>
      </c>
    </row>
    <row r="50" spans="1:41" ht="14.25" customHeight="1" thickBot="1">
      <c r="A50" s="30" t="s">
        <v>235</v>
      </c>
      <c r="B50" s="31" t="s">
        <v>236</v>
      </c>
      <c r="C50" s="31" t="s">
        <v>162</v>
      </c>
      <c r="D50" s="31">
        <v>35</v>
      </c>
      <c r="E50" s="31">
        <v>2</v>
      </c>
      <c r="F50" s="31" t="s">
        <v>155</v>
      </c>
      <c r="G50" s="31" t="s">
        <v>169</v>
      </c>
      <c r="H50" s="31" t="s">
        <v>117</v>
      </c>
      <c r="I50" s="31">
        <v>172</v>
      </c>
      <c r="J50" s="32" t="s">
        <v>129</v>
      </c>
      <c r="K50" s="32" t="s">
        <v>211</v>
      </c>
      <c r="L50" s="33" t="s">
        <v>129</v>
      </c>
      <c r="M50" s="33" t="s">
        <v>120</v>
      </c>
      <c r="U50" s="40">
        <v>4</v>
      </c>
      <c r="AK50" s="37" t="s">
        <v>191</v>
      </c>
      <c r="AM50" s="37">
        <v>60</v>
      </c>
      <c r="AO50" s="31" t="str">
        <f t="shared" si="0"/>
        <v>AS</v>
      </c>
    </row>
    <row r="51" spans="1:41" ht="14.25" customHeight="1" thickBot="1">
      <c r="A51" s="30" t="s">
        <v>237</v>
      </c>
      <c r="B51" s="31" t="s">
        <v>236</v>
      </c>
      <c r="C51" s="31" t="s">
        <v>114</v>
      </c>
      <c r="D51" s="31">
        <v>100</v>
      </c>
      <c r="E51" s="31">
        <v>10</v>
      </c>
      <c r="F51" s="31" t="s">
        <v>163</v>
      </c>
      <c r="G51" s="31" t="s">
        <v>116</v>
      </c>
      <c r="H51" s="31" t="s">
        <v>128</v>
      </c>
      <c r="I51" s="31">
        <v>140</v>
      </c>
      <c r="J51" s="32" t="s">
        <v>139</v>
      </c>
      <c r="K51" s="32" t="s">
        <v>186</v>
      </c>
      <c r="L51" s="33" t="s">
        <v>141</v>
      </c>
      <c r="M51" s="33" t="s">
        <v>120</v>
      </c>
      <c r="U51" s="36" t="s">
        <v>254</v>
      </c>
      <c r="AK51" s="40" t="s">
        <v>188</v>
      </c>
      <c r="AM51" s="36" t="s">
        <v>208</v>
      </c>
      <c r="AO51" s="31" t="str">
        <f t="shared" si="0"/>
        <v>TK</v>
      </c>
    </row>
    <row r="52" spans="1:41" ht="14.25" customHeight="1" thickBot="1">
      <c r="A52" s="30" t="s">
        <v>238</v>
      </c>
      <c r="B52" s="31" t="s">
        <v>236</v>
      </c>
      <c r="C52" s="31" t="s">
        <v>114</v>
      </c>
      <c r="D52" s="31">
        <v>79</v>
      </c>
      <c r="E52" s="31">
        <v>3</v>
      </c>
      <c r="F52" s="31" t="s">
        <v>115</v>
      </c>
      <c r="G52" s="31" t="s">
        <v>127</v>
      </c>
      <c r="H52" s="31" t="s">
        <v>128</v>
      </c>
      <c r="I52" s="31">
        <v>135</v>
      </c>
      <c r="J52" s="32" t="s">
        <v>149</v>
      </c>
      <c r="K52" s="32" t="s">
        <v>186</v>
      </c>
      <c r="L52" s="33" t="s">
        <v>149</v>
      </c>
      <c r="M52" s="33" t="s">
        <v>120</v>
      </c>
      <c r="U52" s="37" t="s">
        <v>255</v>
      </c>
      <c r="AK52" s="53">
        <v>99</v>
      </c>
      <c r="AM52" s="37">
        <v>81</v>
      </c>
      <c r="AO52" s="31" t="str">
        <f t="shared" si="0"/>
        <v>RK</v>
      </c>
    </row>
    <row r="53" spans="1:41" ht="14.25" customHeight="1" thickBot="1">
      <c r="A53" s="30" t="s">
        <v>239</v>
      </c>
      <c r="B53" s="31" t="s">
        <v>236</v>
      </c>
      <c r="C53" s="31" t="s">
        <v>125</v>
      </c>
      <c r="D53" s="31">
        <v>61</v>
      </c>
      <c r="E53" s="31">
        <v>3</v>
      </c>
      <c r="F53" s="31" t="s">
        <v>115</v>
      </c>
      <c r="G53" s="31" t="s">
        <v>137</v>
      </c>
      <c r="H53" s="31" t="s">
        <v>128</v>
      </c>
      <c r="I53" s="31">
        <v>148</v>
      </c>
      <c r="J53" s="32" t="s">
        <v>157</v>
      </c>
      <c r="K53" s="32" t="s">
        <v>204</v>
      </c>
      <c r="L53" s="33" t="s">
        <v>158</v>
      </c>
      <c r="M53" s="33" t="s">
        <v>120</v>
      </c>
      <c r="U53" s="40">
        <v>1</v>
      </c>
      <c r="AK53" s="36" t="s">
        <v>193</v>
      </c>
      <c r="AM53" s="36" t="s">
        <v>209</v>
      </c>
      <c r="AO53" s="31" t="str">
        <f t="shared" si="0"/>
        <v>AP</v>
      </c>
    </row>
    <row r="54" spans="1:41" ht="14.25" customHeight="1" thickBot="1">
      <c r="A54" s="30" t="s">
        <v>240</v>
      </c>
      <c r="B54" s="31" t="s">
        <v>236</v>
      </c>
      <c r="C54" s="31" t="s">
        <v>114</v>
      </c>
      <c r="D54" s="31">
        <v>97</v>
      </c>
      <c r="E54" s="31">
        <v>9</v>
      </c>
      <c r="F54" s="31" t="s">
        <v>115</v>
      </c>
      <c r="G54" s="31" t="s">
        <v>148</v>
      </c>
      <c r="H54" s="31" t="s">
        <v>128</v>
      </c>
      <c r="I54" s="31">
        <v>108</v>
      </c>
      <c r="J54" s="32" t="s">
        <v>165</v>
      </c>
      <c r="K54" s="32" t="s">
        <v>119</v>
      </c>
      <c r="L54" s="33" t="s">
        <v>165</v>
      </c>
      <c r="M54" s="33" t="s">
        <v>120</v>
      </c>
      <c r="U54" s="36" t="s">
        <v>261</v>
      </c>
      <c r="AK54" s="37" t="s">
        <v>194</v>
      </c>
      <c r="AM54" s="37">
        <v>49</v>
      </c>
      <c r="AO54" s="31" t="str">
        <f t="shared" si="0"/>
        <v>NT</v>
      </c>
    </row>
    <row r="55" spans="1:41" ht="14.25" customHeight="1" thickBot="1">
      <c r="A55" s="30" t="s">
        <v>241</v>
      </c>
      <c r="B55" s="31" t="s">
        <v>236</v>
      </c>
      <c r="C55" s="31" t="s">
        <v>125</v>
      </c>
      <c r="D55" s="31">
        <v>3</v>
      </c>
      <c r="E55" s="31">
        <v>9</v>
      </c>
      <c r="F55" s="31" t="s">
        <v>115</v>
      </c>
      <c r="G55" s="31" t="s">
        <v>148</v>
      </c>
      <c r="H55" s="31" t="s">
        <v>128</v>
      </c>
      <c r="I55" s="31">
        <v>120</v>
      </c>
      <c r="J55" s="32" t="s">
        <v>129</v>
      </c>
      <c r="K55" s="32" t="s">
        <v>119</v>
      </c>
      <c r="L55" s="33" t="s">
        <v>129</v>
      </c>
      <c r="M55" s="33" t="s">
        <v>120</v>
      </c>
      <c r="AK55" s="40" t="s">
        <v>188</v>
      </c>
      <c r="AM55" s="36" t="s">
        <v>210</v>
      </c>
      <c r="AO55" s="31" t="str">
        <f t="shared" si="0"/>
        <v>AS</v>
      </c>
    </row>
    <row r="56" spans="1:41" ht="14.25" customHeight="1" thickBot="1">
      <c r="A56" s="30" t="s">
        <v>242</v>
      </c>
      <c r="B56" s="31" t="s">
        <v>236</v>
      </c>
      <c r="C56" s="31" t="s">
        <v>135</v>
      </c>
      <c r="D56" s="31">
        <v>16</v>
      </c>
      <c r="E56" s="31">
        <v>9</v>
      </c>
      <c r="F56" s="31" t="s">
        <v>115</v>
      </c>
      <c r="G56" s="31" t="s">
        <v>148</v>
      </c>
      <c r="H56" s="31" t="s">
        <v>128</v>
      </c>
      <c r="I56" s="31">
        <v>165</v>
      </c>
      <c r="J56" s="32" t="s">
        <v>139</v>
      </c>
      <c r="K56" s="32" t="s">
        <v>130</v>
      </c>
      <c r="L56" s="33" t="s">
        <v>141</v>
      </c>
      <c r="M56" s="33" t="s">
        <v>120</v>
      </c>
      <c r="AK56" s="53">
        <v>33</v>
      </c>
      <c r="AM56" s="37">
        <v>94</v>
      </c>
      <c r="AO56" s="31" t="str">
        <f t="shared" si="0"/>
        <v>AS</v>
      </c>
    </row>
    <row r="57" spans="1:41" ht="14.25" customHeight="1" thickBot="1">
      <c r="A57" s="30" t="s">
        <v>243</v>
      </c>
      <c r="B57" s="31" t="s">
        <v>236</v>
      </c>
      <c r="C57" s="31" t="s">
        <v>146</v>
      </c>
      <c r="D57" s="31">
        <v>67</v>
      </c>
      <c r="E57" s="31">
        <v>5</v>
      </c>
      <c r="F57" s="31" t="s">
        <v>199</v>
      </c>
      <c r="G57" s="31" t="s">
        <v>148</v>
      </c>
      <c r="H57" s="31" t="s">
        <v>128</v>
      </c>
      <c r="I57" s="31">
        <v>16</v>
      </c>
      <c r="J57" s="32" t="s">
        <v>149</v>
      </c>
      <c r="K57" s="32" t="s">
        <v>211</v>
      </c>
      <c r="L57" s="33" t="s">
        <v>149</v>
      </c>
      <c r="M57" s="33" t="s">
        <v>142</v>
      </c>
      <c r="AK57" s="36" t="s">
        <v>195</v>
      </c>
      <c r="AM57" s="36" t="s">
        <v>212</v>
      </c>
      <c r="AO57" s="31" t="str">
        <f t="shared" si="0"/>
        <v>AS</v>
      </c>
    </row>
    <row r="58" spans="1:41" ht="14.25" customHeight="1" thickBot="1">
      <c r="A58" s="30" t="s">
        <v>244</v>
      </c>
      <c r="B58" s="31" t="s">
        <v>236</v>
      </c>
      <c r="C58" s="31" t="s">
        <v>114</v>
      </c>
      <c r="D58" s="31">
        <v>76</v>
      </c>
      <c r="E58" s="31">
        <v>4</v>
      </c>
      <c r="F58" s="31" t="s">
        <v>201</v>
      </c>
      <c r="G58" s="31" t="s">
        <v>148</v>
      </c>
      <c r="H58" s="31" t="s">
        <v>128</v>
      </c>
      <c r="I58" s="31">
        <v>70</v>
      </c>
      <c r="J58" s="32" t="s">
        <v>157</v>
      </c>
      <c r="K58" s="32" t="s">
        <v>186</v>
      </c>
      <c r="L58" s="33" t="s">
        <v>158</v>
      </c>
      <c r="M58" s="33" t="s">
        <v>171</v>
      </c>
      <c r="AK58" s="37" t="s">
        <v>194</v>
      </c>
      <c r="AM58" s="37">
        <v>63</v>
      </c>
      <c r="AO58" s="31" t="str">
        <f t="shared" si="0"/>
        <v>TK</v>
      </c>
    </row>
    <row r="59" spans="1:41" ht="14.25" customHeight="1" thickBot="1">
      <c r="A59" s="30" t="s">
        <v>245</v>
      </c>
      <c r="B59" s="31" t="s">
        <v>236</v>
      </c>
      <c r="C59" s="31" t="s">
        <v>125</v>
      </c>
      <c r="D59" s="31">
        <v>32</v>
      </c>
      <c r="E59" s="31">
        <v>7</v>
      </c>
      <c r="F59" s="31" t="s">
        <v>201</v>
      </c>
      <c r="G59" s="31" t="s">
        <v>148</v>
      </c>
      <c r="H59" s="31" t="s">
        <v>128</v>
      </c>
      <c r="I59" s="31">
        <v>173</v>
      </c>
      <c r="J59" s="32" t="s">
        <v>191</v>
      </c>
      <c r="K59" s="32" t="s">
        <v>186</v>
      </c>
      <c r="L59" s="33" t="s">
        <v>191</v>
      </c>
      <c r="M59" s="33" t="s">
        <v>120</v>
      </c>
      <c r="AK59" s="40" t="s">
        <v>188</v>
      </c>
      <c r="AM59" s="36" t="s">
        <v>133</v>
      </c>
      <c r="AO59" s="31" t="str">
        <f t="shared" si="0"/>
        <v>RK</v>
      </c>
    </row>
    <row r="60" spans="1:41" ht="14.25" customHeight="1" thickBot="1">
      <c r="A60" s="30" t="s">
        <v>246</v>
      </c>
      <c r="B60" s="31" t="s">
        <v>236</v>
      </c>
      <c r="C60" s="31" t="s">
        <v>135</v>
      </c>
      <c r="D60" s="31">
        <v>63</v>
      </c>
      <c r="E60" s="31">
        <v>6</v>
      </c>
      <c r="F60" s="31" t="s">
        <v>201</v>
      </c>
      <c r="G60" s="31" t="s">
        <v>148</v>
      </c>
      <c r="H60" s="31" t="s">
        <v>128</v>
      </c>
      <c r="I60" s="31">
        <v>71</v>
      </c>
      <c r="J60" s="32" t="s">
        <v>191</v>
      </c>
      <c r="K60" s="32" t="s">
        <v>204</v>
      </c>
      <c r="L60" s="33" t="s">
        <v>191</v>
      </c>
      <c r="M60" s="33" t="s">
        <v>171</v>
      </c>
      <c r="AK60" s="53">
        <v>25</v>
      </c>
      <c r="AM60" s="37">
        <v>18</v>
      </c>
      <c r="AO60" s="31" t="str">
        <f t="shared" si="0"/>
        <v>AS</v>
      </c>
    </row>
    <row r="61" spans="1:41" ht="14.25" customHeight="1" thickBot="1">
      <c r="A61" s="30" t="s">
        <v>247</v>
      </c>
      <c r="B61" s="31" t="s">
        <v>181</v>
      </c>
      <c r="C61" s="31" t="s">
        <v>146</v>
      </c>
      <c r="D61" s="31">
        <v>17</v>
      </c>
      <c r="E61" s="31">
        <v>1</v>
      </c>
      <c r="F61" s="31" t="s">
        <v>201</v>
      </c>
      <c r="G61" s="31" t="s">
        <v>148</v>
      </c>
      <c r="H61" s="31" t="s">
        <v>128</v>
      </c>
      <c r="I61" s="31">
        <v>133</v>
      </c>
      <c r="J61" s="32" t="s">
        <v>118</v>
      </c>
      <c r="K61" s="32" t="s">
        <v>119</v>
      </c>
      <c r="L61" s="33" t="s">
        <v>118</v>
      </c>
      <c r="M61" s="33" t="s">
        <v>120</v>
      </c>
      <c r="AK61" s="36" t="s">
        <v>196</v>
      </c>
      <c r="AM61" s="36" t="s">
        <v>213</v>
      </c>
      <c r="AO61" s="31" t="str">
        <f t="shared" si="0"/>
        <v>AS</v>
      </c>
    </row>
    <row r="62" spans="1:41" ht="14.25" customHeight="1" thickBot="1">
      <c r="A62" s="30" t="s">
        <v>248</v>
      </c>
      <c r="B62" s="31" t="s">
        <v>113</v>
      </c>
      <c r="C62" s="31" t="s">
        <v>154</v>
      </c>
      <c r="D62" s="31">
        <v>77</v>
      </c>
      <c r="E62" s="31">
        <v>6</v>
      </c>
      <c r="F62" s="31" t="s">
        <v>201</v>
      </c>
      <c r="G62" s="31" t="s">
        <v>148</v>
      </c>
      <c r="H62" s="31" t="s">
        <v>128</v>
      </c>
      <c r="I62" s="31">
        <v>10</v>
      </c>
      <c r="J62" s="32" t="s">
        <v>129</v>
      </c>
      <c r="K62" s="32" t="s">
        <v>119</v>
      </c>
      <c r="L62" s="33" t="s">
        <v>129</v>
      </c>
      <c r="M62" s="33" t="s">
        <v>142</v>
      </c>
      <c r="AK62" s="37" t="s">
        <v>194</v>
      </c>
      <c r="AM62" s="37">
        <v>38</v>
      </c>
      <c r="AO62" s="31" t="str">
        <f t="shared" si="0"/>
        <v>TK</v>
      </c>
    </row>
    <row r="63" spans="1:41" ht="14.25" customHeight="1" thickBot="1">
      <c r="A63" s="30" t="s">
        <v>249</v>
      </c>
      <c r="B63" s="31" t="s">
        <v>124</v>
      </c>
      <c r="C63" s="31" t="s">
        <v>162</v>
      </c>
      <c r="D63" s="31">
        <v>80</v>
      </c>
      <c r="E63" s="31">
        <v>7</v>
      </c>
      <c r="F63" s="31" t="s">
        <v>201</v>
      </c>
      <c r="G63" s="31" t="s">
        <v>148</v>
      </c>
      <c r="H63" s="31" t="s">
        <v>128</v>
      </c>
      <c r="I63" s="31">
        <v>17</v>
      </c>
      <c r="J63" s="32" t="s">
        <v>139</v>
      </c>
      <c r="K63" s="32" t="s">
        <v>130</v>
      </c>
      <c r="L63" s="33" t="s">
        <v>141</v>
      </c>
      <c r="M63" s="33" t="s">
        <v>142</v>
      </c>
      <c r="AK63" s="40" t="s">
        <v>188</v>
      </c>
      <c r="AM63" s="36" t="s">
        <v>215</v>
      </c>
      <c r="AO63" s="31" t="str">
        <f t="shared" si="0"/>
        <v>RK</v>
      </c>
    </row>
    <row r="64" spans="1:41" ht="14.25" customHeight="1" thickBot="1">
      <c r="A64" s="30" t="s">
        <v>250</v>
      </c>
      <c r="B64" s="31" t="s">
        <v>134</v>
      </c>
      <c r="C64" s="31" t="s">
        <v>114</v>
      </c>
      <c r="D64" s="31">
        <v>36</v>
      </c>
      <c r="E64" s="31">
        <v>4</v>
      </c>
      <c r="F64" s="31" t="s">
        <v>201</v>
      </c>
      <c r="G64" s="31" t="s">
        <v>148</v>
      </c>
      <c r="H64" s="31" t="s">
        <v>128</v>
      </c>
      <c r="I64" s="31">
        <v>109</v>
      </c>
      <c r="J64" s="32" t="s">
        <v>149</v>
      </c>
      <c r="K64" s="32" t="s">
        <v>211</v>
      </c>
      <c r="L64" s="33" t="s">
        <v>149</v>
      </c>
      <c r="M64" s="33" t="s">
        <v>120</v>
      </c>
      <c r="AK64" s="53">
        <v>79</v>
      </c>
      <c r="AM64" s="37">
        <v>78</v>
      </c>
      <c r="AO64" s="31" t="str">
        <f t="shared" si="0"/>
        <v>AP</v>
      </c>
    </row>
    <row r="65" spans="1:41" ht="14.25" customHeight="1" thickBot="1">
      <c r="A65" s="30" t="s">
        <v>251</v>
      </c>
      <c r="B65" s="31" t="s">
        <v>113</v>
      </c>
      <c r="C65" s="31" t="s">
        <v>114</v>
      </c>
      <c r="D65" s="31">
        <v>29</v>
      </c>
      <c r="E65" s="31">
        <v>2</v>
      </c>
      <c r="F65" s="31" t="s">
        <v>214</v>
      </c>
      <c r="G65" s="31" t="s">
        <v>148</v>
      </c>
      <c r="H65" s="31" t="s">
        <v>117</v>
      </c>
      <c r="I65" s="31">
        <v>105</v>
      </c>
      <c r="J65" s="32" t="s">
        <v>157</v>
      </c>
      <c r="K65" s="32" t="s">
        <v>119</v>
      </c>
      <c r="L65" s="33" t="s">
        <v>158</v>
      </c>
      <c r="M65" s="33" t="s">
        <v>120</v>
      </c>
      <c r="AK65" s="36" t="s">
        <v>197</v>
      </c>
      <c r="AM65" s="36" t="s">
        <v>216</v>
      </c>
      <c r="AO65" s="31" t="str">
        <f t="shared" si="0"/>
        <v>NT</v>
      </c>
    </row>
    <row r="66" spans="1:41" ht="14.25" customHeight="1" thickBot="1">
      <c r="A66" s="30" t="s">
        <v>252</v>
      </c>
      <c r="B66" s="31" t="s">
        <v>153</v>
      </c>
      <c r="C66" s="31" t="s">
        <v>125</v>
      </c>
      <c r="D66" s="31">
        <v>5</v>
      </c>
      <c r="E66" s="31">
        <v>8</v>
      </c>
      <c r="F66" s="31" t="s">
        <v>214</v>
      </c>
      <c r="G66" s="31" t="s">
        <v>148</v>
      </c>
      <c r="H66" s="31" t="s">
        <v>128</v>
      </c>
      <c r="I66" s="31">
        <v>135</v>
      </c>
      <c r="J66" s="32" t="s">
        <v>165</v>
      </c>
      <c r="K66" s="32" t="s">
        <v>119</v>
      </c>
      <c r="L66" s="33" t="s">
        <v>165</v>
      </c>
      <c r="M66" s="33" t="s">
        <v>120</v>
      </c>
      <c r="AK66" s="37" t="s">
        <v>194</v>
      </c>
      <c r="AM66" s="37">
        <v>95</v>
      </c>
      <c r="AO66" s="31" t="str">
        <f t="shared" si="0"/>
        <v>AS</v>
      </c>
    </row>
    <row r="67" spans="1:41" ht="14.25" customHeight="1" thickBot="1">
      <c r="A67" s="30" t="s">
        <v>253</v>
      </c>
      <c r="B67" s="31" t="s">
        <v>254</v>
      </c>
      <c r="C67" s="31" t="s">
        <v>135</v>
      </c>
      <c r="D67" s="31">
        <v>39</v>
      </c>
      <c r="E67" s="31">
        <v>2</v>
      </c>
      <c r="F67" s="31" t="s">
        <v>214</v>
      </c>
      <c r="G67" s="31" t="s">
        <v>148</v>
      </c>
      <c r="H67" s="31" t="s">
        <v>138</v>
      </c>
      <c r="I67" s="31">
        <v>79</v>
      </c>
      <c r="J67" s="32" t="s">
        <v>129</v>
      </c>
      <c r="K67" s="32" t="s">
        <v>204</v>
      </c>
      <c r="L67" s="33" t="s">
        <v>129</v>
      </c>
      <c r="M67" s="33" t="s">
        <v>120</v>
      </c>
      <c r="AK67" s="40" t="s">
        <v>188</v>
      </c>
      <c r="AM67" s="36" t="s">
        <v>217</v>
      </c>
      <c r="AO67" s="31" t="str">
        <f t="shared" si="0"/>
        <v>AS</v>
      </c>
    </row>
    <row r="68" spans="1:41" ht="14.25" customHeight="1" thickBot="1">
      <c r="A68" s="30" t="s">
        <v>255</v>
      </c>
      <c r="B68" s="31" t="s">
        <v>254</v>
      </c>
      <c r="C68" s="31" t="s">
        <v>146</v>
      </c>
      <c r="D68" s="31">
        <v>98</v>
      </c>
      <c r="E68" s="31">
        <v>1</v>
      </c>
      <c r="F68" s="31" t="s">
        <v>214</v>
      </c>
      <c r="G68" s="31" t="s">
        <v>148</v>
      </c>
      <c r="H68" s="31" t="s">
        <v>117</v>
      </c>
      <c r="I68" s="31">
        <v>50</v>
      </c>
      <c r="J68" s="32" t="s">
        <v>139</v>
      </c>
      <c r="K68" s="32" t="s">
        <v>119</v>
      </c>
      <c r="L68" s="33" t="s">
        <v>141</v>
      </c>
      <c r="M68" s="33" t="s">
        <v>171</v>
      </c>
      <c r="AK68" s="53">
        <v>94</v>
      </c>
      <c r="AM68" s="37">
        <v>97</v>
      </c>
      <c r="AO68" s="31" t="str">
        <f t="shared" si="0"/>
        <v>AS</v>
      </c>
    </row>
    <row r="69" spans="1:41" ht="14.25" customHeight="1" thickBot="1">
      <c r="A69" s="30" t="s">
        <v>256</v>
      </c>
      <c r="B69" s="31" t="s">
        <v>254</v>
      </c>
      <c r="C69" s="31" t="s">
        <v>114</v>
      </c>
      <c r="D69" s="31">
        <v>39</v>
      </c>
      <c r="E69" s="31">
        <v>1</v>
      </c>
      <c r="F69" s="31" t="s">
        <v>214</v>
      </c>
      <c r="G69" s="31" t="s">
        <v>156</v>
      </c>
      <c r="H69" s="31" t="s">
        <v>128</v>
      </c>
      <c r="I69" s="31">
        <v>155</v>
      </c>
      <c r="J69" s="32" t="s">
        <v>149</v>
      </c>
      <c r="K69" s="32" t="s">
        <v>119</v>
      </c>
      <c r="L69" s="33" t="s">
        <v>149</v>
      </c>
      <c r="M69" s="33" t="s">
        <v>120</v>
      </c>
      <c r="AK69" s="36" t="s">
        <v>198</v>
      </c>
      <c r="AM69" s="36" t="s">
        <v>218</v>
      </c>
      <c r="AO69" s="31" t="str">
        <f t="shared" si="0"/>
        <v>AS</v>
      </c>
    </row>
    <row r="70" spans="1:41" ht="14.25" customHeight="1" thickBot="1">
      <c r="A70" s="30" t="s">
        <v>257</v>
      </c>
      <c r="B70" s="31" t="s">
        <v>254</v>
      </c>
      <c r="C70" s="31" t="s">
        <v>125</v>
      </c>
      <c r="D70" s="31">
        <v>67</v>
      </c>
      <c r="E70" s="31">
        <v>10</v>
      </c>
      <c r="F70" s="31" t="s">
        <v>201</v>
      </c>
      <c r="G70" s="31" t="s">
        <v>164</v>
      </c>
      <c r="H70" s="31" t="s">
        <v>138</v>
      </c>
      <c r="I70" s="31">
        <v>78</v>
      </c>
      <c r="J70" s="32" t="s">
        <v>157</v>
      </c>
      <c r="K70" s="32" t="s">
        <v>130</v>
      </c>
      <c r="L70" s="33" t="s">
        <v>158</v>
      </c>
      <c r="M70" s="33" t="s">
        <v>120</v>
      </c>
      <c r="AK70" s="37" t="s">
        <v>194</v>
      </c>
      <c r="AM70" s="37">
        <v>95</v>
      </c>
      <c r="AO70" s="31" t="str">
        <f t="shared" si="0"/>
        <v>AS</v>
      </c>
    </row>
    <row r="71" spans="1:41" ht="14.25" customHeight="1" thickBot="1">
      <c r="A71" s="30" t="s">
        <v>258</v>
      </c>
      <c r="B71" s="31" t="s">
        <v>181</v>
      </c>
      <c r="C71" s="31" t="s">
        <v>135</v>
      </c>
      <c r="D71" s="31">
        <v>77</v>
      </c>
      <c r="E71" s="31">
        <v>5</v>
      </c>
      <c r="F71" s="31" t="s">
        <v>201</v>
      </c>
      <c r="G71" s="31" t="s">
        <v>169</v>
      </c>
      <c r="H71" s="31" t="s">
        <v>138</v>
      </c>
      <c r="I71" s="31">
        <v>83</v>
      </c>
      <c r="J71" s="32" t="s">
        <v>165</v>
      </c>
      <c r="K71" s="32" t="s">
        <v>211</v>
      </c>
      <c r="L71" s="33" t="s">
        <v>165</v>
      </c>
      <c r="M71" s="33" t="s">
        <v>120</v>
      </c>
      <c r="AK71" s="40" t="s">
        <v>188</v>
      </c>
      <c r="AM71" s="36" t="s">
        <v>219</v>
      </c>
      <c r="AO71" s="31" t="str">
        <f t="shared" si="0"/>
        <v>TK</v>
      </c>
    </row>
    <row r="72" spans="1:41" ht="14.25" customHeight="1" thickBot="1">
      <c r="A72" s="30" t="s">
        <v>259</v>
      </c>
      <c r="B72" s="31" t="s">
        <v>113</v>
      </c>
      <c r="C72" s="31" t="s">
        <v>146</v>
      </c>
      <c r="D72" s="31">
        <v>78</v>
      </c>
      <c r="E72" s="31">
        <v>7</v>
      </c>
      <c r="F72" s="31" t="s">
        <v>201</v>
      </c>
      <c r="G72" s="31" t="s">
        <v>116</v>
      </c>
      <c r="H72" s="31" t="s">
        <v>138</v>
      </c>
      <c r="I72" s="31">
        <v>118</v>
      </c>
      <c r="J72" s="32" t="s">
        <v>129</v>
      </c>
      <c r="K72" s="32" t="s">
        <v>119</v>
      </c>
      <c r="L72" s="33" t="s">
        <v>129</v>
      </c>
      <c r="M72" s="33" t="s">
        <v>120</v>
      </c>
      <c r="AK72" s="53">
        <v>95</v>
      </c>
      <c r="AM72" s="37">
        <v>44</v>
      </c>
      <c r="AO72" s="31" t="str">
        <f t="shared" si="0"/>
        <v>RK</v>
      </c>
    </row>
    <row r="73" spans="1:41" ht="14.25" customHeight="1" thickBot="1">
      <c r="AK73" s="36" t="s">
        <v>200</v>
      </c>
      <c r="AM73" s="36" t="s">
        <v>221</v>
      </c>
      <c r="AO73" s="31" t="str">
        <f t="shared" si="0"/>
        <v>AS</v>
      </c>
    </row>
    <row r="74" spans="1:41" ht="14.25" customHeight="1" thickBot="1">
      <c r="AK74" s="37" t="s">
        <v>194</v>
      </c>
      <c r="AM74" s="37">
        <v>77</v>
      </c>
      <c r="AO74" s="31" t="str">
        <f t="shared" si="0"/>
        <v>AS</v>
      </c>
    </row>
    <row r="75" spans="1:41" ht="14.25" customHeight="1" thickBot="1">
      <c r="AK75" s="40" t="s">
        <v>134</v>
      </c>
      <c r="AM75" s="36" t="s">
        <v>222</v>
      </c>
      <c r="AO75" s="31" t="str">
        <f t="shared" si="0"/>
        <v>TK</v>
      </c>
    </row>
    <row r="76" spans="1:41" ht="14.25" customHeight="1" thickBot="1">
      <c r="AK76" s="53">
        <v>59</v>
      </c>
      <c r="AM76" s="37">
        <v>43</v>
      </c>
      <c r="AO76" s="31" t="str">
        <f t="shared" si="0"/>
        <v>RK</v>
      </c>
    </row>
    <row r="77" spans="1:41" ht="14.25" customHeight="1" thickBot="1">
      <c r="AK77" s="36" t="s">
        <v>202</v>
      </c>
      <c r="AM77" s="36" t="s">
        <v>223</v>
      </c>
      <c r="AO77" s="31" t="str">
        <f t="shared" si="0"/>
        <v>AP</v>
      </c>
    </row>
    <row r="78" spans="1:41" ht="14.25" customHeight="1" thickBot="1">
      <c r="AK78" s="37" t="s">
        <v>203</v>
      </c>
      <c r="AM78" s="37">
        <v>31</v>
      </c>
      <c r="AO78" s="31" t="str">
        <f t="shared" si="0"/>
        <v>NT</v>
      </c>
    </row>
    <row r="79" spans="1:41" ht="14.25" customHeight="1" thickBot="1">
      <c r="AK79" s="40" t="s">
        <v>113</v>
      </c>
      <c r="AM79" s="36" t="s">
        <v>224</v>
      </c>
      <c r="AO79" s="31" t="str">
        <f t="shared" si="0"/>
        <v>AS</v>
      </c>
    </row>
    <row r="80" spans="1:41" ht="14.25" customHeight="1" thickBot="1">
      <c r="AK80" s="53">
        <v>36</v>
      </c>
      <c r="AM80" s="37">
        <v>12</v>
      </c>
      <c r="AO80" s="31" t="str">
        <f t="shared" si="0"/>
        <v>AS</v>
      </c>
    </row>
    <row r="81" spans="37:41" ht="14.25" customHeight="1" thickBot="1">
      <c r="AK81" s="36" t="s">
        <v>205</v>
      </c>
      <c r="AM81" s="36" t="s">
        <v>145</v>
      </c>
      <c r="AO81" s="31" t="str">
        <f t="shared" si="0"/>
        <v>AS</v>
      </c>
    </row>
    <row r="82" spans="37:41" ht="14.25" customHeight="1" thickBot="1">
      <c r="AK82" s="37" t="s">
        <v>206</v>
      </c>
      <c r="AM82" s="37">
        <v>31</v>
      </c>
      <c r="AO82" s="31" t="str">
        <f t="shared" ref="AO82:AO87" si="1">SUBSTITUTE(C67,"SP","AS")</f>
        <v>TK</v>
      </c>
    </row>
    <row r="83" spans="37:41" ht="14.25" customHeight="1" thickBot="1">
      <c r="AK83" s="40" t="s">
        <v>153</v>
      </c>
      <c r="AM83" s="36" t="s">
        <v>225</v>
      </c>
      <c r="AO83" s="31" t="str">
        <f t="shared" si="1"/>
        <v>RK</v>
      </c>
    </row>
    <row r="84" spans="37:41" ht="14.25" customHeight="1" thickBot="1">
      <c r="AK84" s="53">
        <v>60</v>
      </c>
      <c r="AM84" s="37">
        <v>4</v>
      </c>
      <c r="AO84" s="31" t="str">
        <f t="shared" si="1"/>
        <v>AS</v>
      </c>
    </row>
    <row r="85" spans="37:41" ht="14.25" customHeight="1" thickBot="1">
      <c r="AK85" s="36" t="s">
        <v>208</v>
      </c>
      <c r="AM85" s="36" t="s">
        <v>226</v>
      </c>
      <c r="AO85" s="31" t="str">
        <f t="shared" si="1"/>
        <v>AS</v>
      </c>
    </row>
    <row r="86" spans="37:41" ht="14.25" customHeight="1" thickBot="1">
      <c r="AK86" s="37" t="s">
        <v>118</v>
      </c>
      <c r="AM86" s="37">
        <v>25</v>
      </c>
      <c r="AO86" s="31" t="str">
        <f t="shared" si="1"/>
        <v>TK</v>
      </c>
    </row>
    <row r="87" spans="37:41" ht="14.25" customHeight="1" thickBot="1">
      <c r="AK87" s="40" t="s">
        <v>113</v>
      </c>
      <c r="AM87" s="36" t="s">
        <v>227</v>
      </c>
      <c r="AO87" s="31" t="str">
        <f t="shared" si="1"/>
        <v>RK</v>
      </c>
    </row>
    <row r="88" spans="37:41" ht="14.25" customHeight="1">
      <c r="AK88" s="53">
        <v>81</v>
      </c>
      <c r="AM88" s="37">
        <v>58</v>
      </c>
    </row>
    <row r="89" spans="37:41" ht="14.25" customHeight="1">
      <c r="AK89" s="36" t="s">
        <v>209</v>
      </c>
      <c r="AM89" s="36" t="s">
        <v>229</v>
      </c>
    </row>
    <row r="90" spans="37:41" ht="14.25" customHeight="1">
      <c r="AK90" s="37" t="s">
        <v>129</v>
      </c>
      <c r="AM90" s="37">
        <v>23</v>
      </c>
    </row>
    <row r="91" spans="37:41" ht="14.25" customHeight="1">
      <c r="AK91" s="40" t="s">
        <v>134</v>
      </c>
      <c r="AM91" s="36" t="s">
        <v>230</v>
      </c>
    </row>
    <row r="92" spans="37:41" ht="14.25" customHeight="1">
      <c r="AK92" s="53">
        <v>49</v>
      </c>
      <c r="AM92" s="37">
        <v>85</v>
      </c>
    </row>
    <row r="93" spans="37:41" ht="14.25" customHeight="1">
      <c r="AK93" s="36" t="s">
        <v>210</v>
      </c>
      <c r="AM93" s="36" t="s">
        <v>231</v>
      </c>
    </row>
    <row r="94" spans="37:41" ht="14.25" customHeight="1">
      <c r="AK94" s="37" t="s">
        <v>139</v>
      </c>
      <c r="AM94" s="37">
        <v>41</v>
      </c>
    </row>
    <row r="95" spans="37:41" ht="14.25" customHeight="1">
      <c r="AK95" s="40" t="s">
        <v>175</v>
      </c>
      <c r="AM95" s="36" t="s">
        <v>232</v>
      </c>
    </row>
    <row r="96" spans="37:41" ht="14.25" customHeight="1">
      <c r="AK96" s="53">
        <v>94</v>
      </c>
      <c r="AM96" s="37">
        <v>58</v>
      </c>
    </row>
    <row r="97" spans="37:39" ht="14.25" customHeight="1">
      <c r="AK97" s="36" t="s">
        <v>212</v>
      </c>
      <c r="AM97" s="36" t="s">
        <v>233</v>
      </c>
    </row>
    <row r="98" spans="37:39" ht="14.25" customHeight="1">
      <c r="AK98" s="37" t="s">
        <v>149</v>
      </c>
      <c r="AM98" s="37">
        <v>28</v>
      </c>
    </row>
    <row r="99" spans="37:39" ht="14.25" customHeight="1">
      <c r="AK99" s="40" t="s">
        <v>179</v>
      </c>
      <c r="AM99" s="36" t="s">
        <v>234</v>
      </c>
    </row>
    <row r="100" spans="37:39" ht="14.25" customHeight="1">
      <c r="AK100" s="53">
        <v>63</v>
      </c>
      <c r="AM100" s="37">
        <v>64</v>
      </c>
    </row>
    <row r="101" spans="37:39" ht="15" customHeight="1">
      <c r="AK101" s="36" t="s">
        <v>133</v>
      </c>
      <c r="AM101" s="36" t="s">
        <v>235</v>
      </c>
    </row>
    <row r="102" spans="37:39" ht="15" customHeight="1">
      <c r="AK102" s="37" t="s">
        <v>139</v>
      </c>
      <c r="AM102" s="37">
        <v>35</v>
      </c>
    </row>
    <row r="103" spans="37:39" ht="15" customHeight="1">
      <c r="AK103" s="40" t="s">
        <v>134</v>
      </c>
      <c r="AM103" s="36" t="s">
        <v>152</v>
      </c>
    </row>
    <row r="104" spans="37:39" ht="15" customHeight="1">
      <c r="AK104" s="53">
        <v>18</v>
      </c>
      <c r="AM104" s="37">
        <v>46</v>
      </c>
    </row>
    <row r="105" spans="37:39" ht="15" customHeight="1">
      <c r="AK105" s="36" t="s">
        <v>213</v>
      </c>
      <c r="AM105" s="36" t="s">
        <v>237</v>
      </c>
    </row>
    <row r="106" spans="37:39" ht="15" customHeight="1">
      <c r="AK106" s="37" t="s">
        <v>157</v>
      </c>
      <c r="AM106" s="37">
        <v>100</v>
      </c>
    </row>
    <row r="107" spans="37:39" ht="15" customHeight="1">
      <c r="AK107" s="40" t="s">
        <v>181</v>
      </c>
      <c r="AM107" s="36" t="s">
        <v>238</v>
      </c>
    </row>
    <row r="108" spans="37:39" ht="15" customHeight="1">
      <c r="AK108" s="53">
        <v>38</v>
      </c>
      <c r="AM108" s="37">
        <v>79</v>
      </c>
    </row>
    <row r="109" spans="37:39" ht="15" customHeight="1">
      <c r="AK109" s="36" t="s">
        <v>215</v>
      </c>
      <c r="AM109" s="36" t="s">
        <v>239</v>
      </c>
    </row>
    <row r="110" spans="37:39" ht="15" customHeight="1">
      <c r="AK110" s="37" t="s">
        <v>165</v>
      </c>
      <c r="AM110" s="37">
        <v>61</v>
      </c>
    </row>
    <row r="111" spans="37:39" ht="15" customHeight="1">
      <c r="AK111" s="40" t="s">
        <v>11</v>
      </c>
      <c r="AM111" s="36" t="s">
        <v>240</v>
      </c>
    </row>
    <row r="112" spans="37:39" ht="15" customHeight="1">
      <c r="AK112" s="53">
        <v>78</v>
      </c>
      <c r="AM112" s="37">
        <v>97</v>
      </c>
    </row>
    <row r="113" spans="37:39" ht="15" customHeight="1">
      <c r="AK113" s="36" t="s">
        <v>216</v>
      </c>
      <c r="AM113" s="36" t="s">
        <v>241</v>
      </c>
    </row>
    <row r="114" spans="37:39" ht="15" customHeight="1">
      <c r="AK114" s="37" t="s">
        <v>129</v>
      </c>
      <c r="AM114" s="37">
        <v>3</v>
      </c>
    </row>
    <row r="115" spans="37:39" ht="15" customHeight="1">
      <c r="AK115" s="40" t="s">
        <v>11</v>
      </c>
      <c r="AM115" s="36" t="s">
        <v>242</v>
      </c>
    </row>
    <row r="116" spans="37:39" ht="15" customHeight="1">
      <c r="AK116" s="53">
        <v>95</v>
      </c>
      <c r="AM116" s="37">
        <v>16</v>
      </c>
    </row>
    <row r="117" spans="37:39" ht="15" customHeight="1">
      <c r="AK117" s="36" t="s">
        <v>217</v>
      </c>
      <c r="AM117" s="36" t="s">
        <v>243</v>
      </c>
    </row>
    <row r="118" spans="37:39" ht="15" customHeight="1">
      <c r="AK118" s="37" t="s">
        <v>139</v>
      </c>
      <c r="AM118" s="37">
        <v>67</v>
      </c>
    </row>
    <row r="119" spans="37:39" ht="15" customHeight="1">
      <c r="AK119" s="40" t="s">
        <v>11</v>
      </c>
      <c r="AM119" s="36" t="s">
        <v>244</v>
      </c>
    </row>
    <row r="120" spans="37:39" ht="15" customHeight="1">
      <c r="AK120" s="53">
        <v>97</v>
      </c>
      <c r="AM120" s="37">
        <v>76</v>
      </c>
    </row>
    <row r="121" spans="37:39" ht="15" customHeight="1">
      <c r="AK121" s="36" t="s">
        <v>218</v>
      </c>
      <c r="AM121" s="36" t="s">
        <v>245</v>
      </c>
    </row>
    <row r="122" spans="37:39" ht="15" customHeight="1">
      <c r="AK122" s="37" t="s">
        <v>149</v>
      </c>
      <c r="AM122" s="37">
        <v>32</v>
      </c>
    </row>
    <row r="123" spans="37:39" ht="15" customHeight="1">
      <c r="AK123" s="40" t="s">
        <v>11</v>
      </c>
      <c r="AM123" s="36" t="s">
        <v>246</v>
      </c>
    </row>
    <row r="124" spans="37:39" ht="15" customHeight="1">
      <c r="AK124" s="53">
        <v>95</v>
      </c>
      <c r="AM124" s="37">
        <v>63</v>
      </c>
    </row>
    <row r="125" spans="37:39" ht="15" customHeight="1">
      <c r="AK125" s="36" t="s">
        <v>219</v>
      </c>
      <c r="AM125" s="36" t="s">
        <v>161</v>
      </c>
    </row>
    <row r="126" spans="37:39" ht="15" customHeight="1">
      <c r="AK126" s="37" t="s">
        <v>157</v>
      </c>
      <c r="AM126" s="37">
        <v>44</v>
      </c>
    </row>
    <row r="127" spans="37:39" ht="15" customHeight="1">
      <c r="AK127" s="40" t="s">
        <v>11</v>
      </c>
      <c r="AM127" s="36" t="s">
        <v>247</v>
      </c>
    </row>
    <row r="128" spans="37:39" ht="15" customHeight="1">
      <c r="AK128" s="53">
        <v>44</v>
      </c>
      <c r="AM128" s="37">
        <v>17</v>
      </c>
    </row>
    <row r="129" spans="37:39" ht="15" customHeight="1">
      <c r="AK129" s="36" t="s">
        <v>221</v>
      </c>
      <c r="AM129" s="36" t="s">
        <v>248</v>
      </c>
    </row>
    <row r="130" spans="37:39" ht="15" customHeight="1">
      <c r="AK130" s="37" t="s">
        <v>165</v>
      </c>
      <c r="AM130" s="37">
        <v>77</v>
      </c>
    </row>
    <row r="131" spans="37:39" ht="15" customHeight="1">
      <c r="AK131" s="40" t="s">
        <v>11</v>
      </c>
      <c r="AM131" s="36" t="s">
        <v>249</v>
      </c>
    </row>
    <row r="132" spans="37:39" ht="15" customHeight="1">
      <c r="AK132" s="53">
        <v>77</v>
      </c>
      <c r="AM132" s="37">
        <v>80</v>
      </c>
    </row>
    <row r="133" spans="37:39" ht="15" customHeight="1">
      <c r="AK133" s="36" t="s">
        <v>222</v>
      </c>
      <c r="AM133" s="36" t="s">
        <v>250</v>
      </c>
    </row>
    <row r="134" spans="37:39" ht="15" customHeight="1">
      <c r="AK134" s="37" t="s">
        <v>129</v>
      </c>
      <c r="AM134" s="37">
        <v>36</v>
      </c>
    </row>
    <row r="135" spans="37:39" ht="15" customHeight="1">
      <c r="AK135" s="40" t="s">
        <v>11</v>
      </c>
      <c r="AM135" s="36" t="s">
        <v>251</v>
      </c>
    </row>
    <row r="136" spans="37:39" ht="15" customHeight="1">
      <c r="AK136" s="53">
        <v>43</v>
      </c>
      <c r="AM136" s="37">
        <v>29</v>
      </c>
    </row>
    <row r="137" spans="37:39" ht="15" customHeight="1">
      <c r="AK137" s="36" t="s">
        <v>223</v>
      </c>
      <c r="AM137" s="36" t="s">
        <v>252</v>
      </c>
    </row>
    <row r="138" spans="37:39" ht="15" customHeight="1">
      <c r="AK138" s="37" t="s">
        <v>139</v>
      </c>
      <c r="AM138" s="37">
        <v>5</v>
      </c>
    </row>
    <row r="139" spans="37:39" ht="15" customHeight="1">
      <c r="AK139" s="40" t="s">
        <v>175</v>
      </c>
      <c r="AM139" s="36" t="s">
        <v>253</v>
      </c>
    </row>
    <row r="140" spans="37:39" ht="15" customHeight="1">
      <c r="AK140" s="53">
        <v>31</v>
      </c>
      <c r="AM140" s="37">
        <v>39</v>
      </c>
    </row>
    <row r="141" spans="37:39" ht="15" customHeight="1">
      <c r="AK141" s="36" t="s">
        <v>224</v>
      </c>
      <c r="AM141" s="36" t="s">
        <v>255</v>
      </c>
    </row>
    <row r="142" spans="37:39" ht="15" customHeight="1">
      <c r="AK142" s="37" t="s">
        <v>149</v>
      </c>
      <c r="AM142" s="37">
        <v>98</v>
      </c>
    </row>
    <row r="143" spans="37:39" ht="15" customHeight="1">
      <c r="AK143" s="40" t="s">
        <v>179</v>
      </c>
      <c r="AM143" s="36" t="s">
        <v>256</v>
      </c>
    </row>
    <row r="144" spans="37:39" ht="15" customHeight="1">
      <c r="AK144" s="53">
        <v>12</v>
      </c>
      <c r="AM144" s="37">
        <v>39</v>
      </c>
    </row>
    <row r="145" spans="37:39" ht="15" customHeight="1">
      <c r="AK145" s="36" t="s">
        <v>145</v>
      </c>
      <c r="AM145" s="36" t="s">
        <v>257</v>
      </c>
    </row>
    <row r="146" spans="37:39" ht="15" customHeight="1">
      <c r="AK146" s="37" t="s">
        <v>149</v>
      </c>
      <c r="AM146" s="37">
        <v>67</v>
      </c>
    </row>
    <row r="147" spans="37:39" ht="15" customHeight="1">
      <c r="AK147" s="40" t="s">
        <v>113</v>
      </c>
      <c r="AM147" s="36" t="s">
        <v>168</v>
      </c>
    </row>
    <row r="148" spans="37:39" ht="15" customHeight="1">
      <c r="AK148" s="53">
        <v>31</v>
      </c>
      <c r="AM148" s="37">
        <v>34</v>
      </c>
    </row>
    <row r="149" spans="37:39" ht="15" customHeight="1">
      <c r="AK149" s="36" t="s">
        <v>225</v>
      </c>
      <c r="AM149" s="36" t="s">
        <v>258</v>
      </c>
    </row>
    <row r="150" spans="37:39" ht="15" customHeight="1">
      <c r="AK150" s="37" t="s">
        <v>157</v>
      </c>
      <c r="AM150" s="37">
        <v>77</v>
      </c>
    </row>
    <row r="151" spans="37:39" ht="15" customHeight="1">
      <c r="AK151" s="40" t="s">
        <v>181</v>
      </c>
      <c r="AM151" s="36" t="s">
        <v>259</v>
      </c>
    </row>
    <row r="152" spans="37:39" ht="15" customHeight="1">
      <c r="AK152" s="53">
        <v>4</v>
      </c>
      <c r="AM152" s="37">
        <v>78</v>
      </c>
    </row>
    <row r="153" spans="37:39" ht="15" customHeight="1">
      <c r="AK153" s="36" t="s">
        <v>226</v>
      </c>
      <c r="AM153" s="36" t="s">
        <v>174</v>
      </c>
    </row>
    <row r="154" spans="37:39" ht="15" customHeight="1">
      <c r="AK154" s="37" t="s">
        <v>191</v>
      </c>
      <c r="AM154" s="37">
        <v>22</v>
      </c>
    </row>
    <row r="155" spans="37:39" ht="15" customHeight="1">
      <c r="AK155" s="40" t="s">
        <v>113</v>
      </c>
      <c r="AM155" s="36" t="s">
        <v>178</v>
      </c>
    </row>
    <row r="156" spans="37:39" ht="15" customHeight="1">
      <c r="AK156" s="53">
        <v>25</v>
      </c>
      <c r="AM156" s="37">
        <v>37</v>
      </c>
    </row>
    <row r="157" spans="37:39" ht="15" customHeight="1">
      <c r="AK157" s="36" t="s">
        <v>227</v>
      </c>
      <c r="AM157" s="36" t="s">
        <v>123</v>
      </c>
    </row>
    <row r="158" spans="37:39" ht="15" customHeight="1">
      <c r="AK158" s="37" t="s">
        <v>191</v>
      </c>
      <c r="AM158" s="37">
        <v>35</v>
      </c>
    </row>
    <row r="159" spans="37:39" ht="15" customHeight="1">
      <c r="AK159" s="40" t="s">
        <v>124</v>
      </c>
      <c r="AM159" s="36" t="s">
        <v>261</v>
      </c>
    </row>
    <row r="160" spans="37:39" ht="15" customHeight="1">
      <c r="AK160" s="53">
        <v>58</v>
      </c>
    </row>
    <row r="161" spans="37:37" ht="15" customHeight="1">
      <c r="AK161" s="36" t="s">
        <v>229</v>
      </c>
    </row>
    <row r="162" spans="37:37" ht="15" customHeight="1">
      <c r="AK162" s="37" t="s">
        <v>118</v>
      </c>
    </row>
    <row r="163" spans="37:37" ht="15" customHeight="1">
      <c r="AK163" s="40" t="s">
        <v>134</v>
      </c>
    </row>
    <row r="164" spans="37:37" ht="15" customHeight="1">
      <c r="AK164" s="53">
        <v>23</v>
      </c>
    </row>
    <row r="165" spans="37:37" ht="15" customHeight="1">
      <c r="AK165" s="36" t="s">
        <v>230</v>
      </c>
    </row>
    <row r="166" spans="37:37" ht="15" customHeight="1">
      <c r="AK166" s="37" t="s">
        <v>129</v>
      </c>
    </row>
    <row r="167" spans="37:37" ht="15" customHeight="1">
      <c r="AK167" s="40" t="s">
        <v>113</v>
      </c>
    </row>
    <row r="168" spans="37:37" ht="15" customHeight="1">
      <c r="AK168" s="53">
        <v>85</v>
      </c>
    </row>
    <row r="169" spans="37:37" ht="15" customHeight="1">
      <c r="AK169" s="36" t="s">
        <v>231</v>
      </c>
    </row>
    <row r="170" spans="37:37" ht="15" customHeight="1">
      <c r="AK170" s="37" t="s">
        <v>139</v>
      </c>
    </row>
    <row r="171" spans="37:37" ht="15" customHeight="1">
      <c r="AK171" s="40" t="s">
        <v>153</v>
      </c>
    </row>
    <row r="172" spans="37:37" ht="15" customHeight="1">
      <c r="AK172" s="53">
        <v>41</v>
      </c>
    </row>
    <row r="173" spans="37:37" ht="15" customHeight="1">
      <c r="AK173" s="36" t="s">
        <v>232</v>
      </c>
    </row>
    <row r="174" spans="37:37" ht="15" customHeight="1">
      <c r="AK174" s="37" t="s">
        <v>149</v>
      </c>
    </row>
    <row r="175" spans="37:37" ht="15" customHeight="1">
      <c r="AK175" s="40" t="s">
        <v>113</v>
      </c>
    </row>
    <row r="176" spans="37:37" ht="15" customHeight="1">
      <c r="AK176" s="53">
        <v>58</v>
      </c>
    </row>
    <row r="177" spans="37:37" ht="15" customHeight="1">
      <c r="AK177" s="36" t="s">
        <v>233</v>
      </c>
    </row>
    <row r="178" spans="37:37" ht="15" customHeight="1">
      <c r="AK178" s="37" t="s">
        <v>157</v>
      </c>
    </row>
    <row r="179" spans="37:37" ht="15" customHeight="1">
      <c r="AK179" s="40" t="s">
        <v>134</v>
      </c>
    </row>
    <row r="180" spans="37:37" ht="15" customHeight="1">
      <c r="AK180" s="53">
        <v>28</v>
      </c>
    </row>
    <row r="181" spans="37:37" ht="15" customHeight="1">
      <c r="AK181" s="36" t="s">
        <v>234</v>
      </c>
    </row>
    <row r="182" spans="37:37" ht="15" customHeight="1">
      <c r="AK182" s="37" t="s">
        <v>165</v>
      </c>
    </row>
    <row r="183" spans="37:37" ht="15" customHeight="1">
      <c r="AK183" s="40" t="s">
        <v>175</v>
      </c>
    </row>
    <row r="184" spans="37:37" ht="15" customHeight="1">
      <c r="AK184" s="53">
        <v>64</v>
      </c>
    </row>
    <row r="185" spans="37:37" ht="15" customHeight="1">
      <c r="AK185" s="36" t="s">
        <v>235</v>
      </c>
    </row>
    <row r="186" spans="37:37" ht="15" customHeight="1">
      <c r="AK186" s="37" t="s">
        <v>129</v>
      </c>
    </row>
    <row r="187" spans="37:37" ht="15" customHeight="1">
      <c r="AK187" s="40" t="s">
        <v>236</v>
      </c>
    </row>
    <row r="188" spans="37:37" ht="15" customHeight="1">
      <c r="AK188" s="53">
        <v>35</v>
      </c>
    </row>
    <row r="189" spans="37:37" ht="15" customHeight="1">
      <c r="AK189" s="36" t="s">
        <v>152</v>
      </c>
    </row>
    <row r="190" spans="37:37" ht="15" customHeight="1">
      <c r="AK190" s="37" t="s">
        <v>157</v>
      </c>
    </row>
    <row r="191" spans="37:37" ht="15" customHeight="1">
      <c r="AK191" s="40" t="s">
        <v>153</v>
      </c>
    </row>
    <row r="192" spans="37:37" ht="15" customHeight="1">
      <c r="AK192" s="53">
        <v>46</v>
      </c>
    </row>
    <row r="193" spans="37:37" ht="15" customHeight="1">
      <c r="AK193" s="36" t="s">
        <v>237</v>
      </c>
    </row>
    <row r="194" spans="37:37" ht="15" customHeight="1">
      <c r="AK194" s="37" t="s">
        <v>139</v>
      </c>
    </row>
    <row r="195" spans="37:37" ht="15" customHeight="1">
      <c r="AK195" s="40" t="s">
        <v>236</v>
      </c>
    </row>
    <row r="196" spans="37:37" ht="15" customHeight="1">
      <c r="AK196" s="53">
        <v>100</v>
      </c>
    </row>
    <row r="197" spans="37:37" ht="15" customHeight="1">
      <c r="AK197" s="36" t="s">
        <v>238</v>
      </c>
    </row>
    <row r="198" spans="37:37" ht="15" customHeight="1">
      <c r="AK198" s="37" t="s">
        <v>149</v>
      </c>
    </row>
    <row r="199" spans="37:37" ht="15" customHeight="1">
      <c r="AK199" s="40" t="s">
        <v>236</v>
      </c>
    </row>
    <row r="200" spans="37:37" ht="15" customHeight="1">
      <c r="AK200" s="53">
        <v>79</v>
      </c>
    </row>
    <row r="201" spans="37:37" ht="15" customHeight="1">
      <c r="AK201" s="36" t="s">
        <v>239</v>
      </c>
    </row>
    <row r="202" spans="37:37" ht="15" customHeight="1">
      <c r="AK202" s="37" t="s">
        <v>157</v>
      </c>
    </row>
    <row r="203" spans="37:37" ht="15" customHeight="1">
      <c r="AK203" s="40" t="s">
        <v>236</v>
      </c>
    </row>
    <row r="204" spans="37:37" ht="15" customHeight="1">
      <c r="AK204" s="53">
        <v>61</v>
      </c>
    </row>
    <row r="205" spans="37:37" ht="15" customHeight="1">
      <c r="AK205" s="36" t="s">
        <v>240</v>
      </c>
    </row>
    <row r="206" spans="37:37" ht="15" customHeight="1">
      <c r="AK206" s="37" t="s">
        <v>165</v>
      </c>
    </row>
    <row r="207" spans="37:37" ht="15" customHeight="1">
      <c r="AK207" s="40" t="s">
        <v>236</v>
      </c>
    </row>
    <row r="208" spans="37:37" ht="15" customHeight="1">
      <c r="AK208" s="53">
        <v>97</v>
      </c>
    </row>
    <row r="209" spans="37:37" ht="15" customHeight="1">
      <c r="AK209" s="36" t="s">
        <v>241</v>
      </c>
    </row>
    <row r="210" spans="37:37" ht="15" customHeight="1">
      <c r="AK210" s="37" t="s">
        <v>129</v>
      </c>
    </row>
    <row r="211" spans="37:37" ht="15" customHeight="1">
      <c r="AK211" s="40" t="s">
        <v>236</v>
      </c>
    </row>
    <row r="212" spans="37:37" ht="15" customHeight="1">
      <c r="AK212" s="53">
        <v>3</v>
      </c>
    </row>
    <row r="213" spans="37:37" ht="15" customHeight="1">
      <c r="AK213" s="36" t="s">
        <v>242</v>
      </c>
    </row>
    <row r="214" spans="37:37" ht="15" customHeight="1">
      <c r="AK214" s="37" t="s">
        <v>139</v>
      </c>
    </row>
    <row r="215" spans="37:37" ht="15" customHeight="1">
      <c r="AK215" s="40" t="s">
        <v>236</v>
      </c>
    </row>
    <row r="216" spans="37:37" ht="15" customHeight="1">
      <c r="AK216" s="53">
        <v>16</v>
      </c>
    </row>
    <row r="217" spans="37:37" ht="15" customHeight="1">
      <c r="AK217" s="36" t="s">
        <v>243</v>
      </c>
    </row>
    <row r="218" spans="37:37" ht="15" customHeight="1">
      <c r="AK218" s="37" t="s">
        <v>149</v>
      </c>
    </row>
    <row r="219" spans="37:37" ht="15" customHeight="1">
      <c r="AK219" s="40" t="s">
        <v>236</v>
      </c>
    </row>
    <row r="220" spans="37:37" ht="15" customHeight="1">
      <c r="AK220" s="53">
        <v>67</v>
      </c>
    </row>
    <row r="221" spans="37:37" ht="15" customHeight="1">
      <c r="AK221" s="36" t="s">
        <v>244</v>
      </c>
    </row>
    <row r="222" spans="37:37" ht="15" customHeight="1">
      <c r="AK222" s="37" t="s">
        <v>157</v>
      </c>
    </row>
    <row r="223" spans="37:37" ht="15" customHeight="1">
      <c r="AK223" s="40" t="s">
        <v>236</v>
      </c>
    </row>
    <row r="224" spans="37:37" ht="15" customHeight="1">
      <c r="AK224" s="53">
        <v>76</v>
      </c>
    </row>
    <row r="225" spans="37:37" ht="15" customHeight="1">
      <c r="AK225" s="36" t="s">
        <v>245</v>
      </c>
    </row>
    <row r="226" spans="37:37" ht="15" customHeight="1">
      <c r="AK226" s="37" t="s">
        <v>191</v>
      </c>
    </row>
    <row r="227" spans="37:37" ht="15" customHeight="1">
      <c r="AK227" s="40" t="s">
        <v>236</v>
      </c>
    </row>
    <row r="228" spans="37:37" ht="15" customHeight="1">
      <c r="AK228" s="53">
        <v>32</v>
      </c>
    </row>
    <row r="229" spans="37:37" ht="15" customHeight="1">
      <c r="AK229" s="36" t="s">
        <v>246</v>
      </c>
    </row>
    <row r="230" spans="37:37" ht="15" customHeight="1">
      <c r="AK230" s="37" t="s">
        <v>191</v>
      </c>
    </row>
    <row r="231" spans="37:37" ht="15" customHeight="1">
      <c r="AK231" s="40" t="s">
        <v>236</v>
      </c>
    </row>
    <row r="232" spans="37:37" ht="15" customHeight="1">
      <c r="AK232" s="53">
        <v>63</v>
      </c>
    </row>
    <row r="233" spans="37:37" ht="15" customHeight="1">
      <c r="AK233" s="36" t="s">
        <v>161</v>
      </c>
    </row>
    <row r="234" spans="37:37" ht="15" customHeight="1">
      <c r="AK234" s="37" t="s">
        <v>165</v>
      </c>
    </row>
    <row r="235" spans="37:37" ht="15" customHeight="1">
      <c r="AK235" s="40" t="s">
        <v>113</v>
      </c>
    </row>
    <row r="236" spans="37:37" ht="15" customHeight="1">
      <c r="AK236" s="53">
        <v>44</v>
      </c>
    </row>
    <row r="237" spans="37:37" ht="15" customHeight="1">
      <c r="AK237" s="36" t="s">
        <v>247</v>
      </c>
    </row>
    <row r="238" spans="37:37" ht="15" customHeight="1">
      <c r="AK238" s="37" t="s">
        <v>118</v>
      </c>
    </row>
    <row r="239" spans="37:37" ht="15" customHeight="1">
      <c r="AK239" s="40" t="s">
        <v>181</v>
      </c>
    </row>
    <row r="240" spans="37:37" ht="15" customHeight="1">
      <c r="AK240" s="53">
        <v>17</v>
      </c>
    </row>
    <row r="241" spans="37:37" ht="15" customHeight="1">
      <c r="AK241" s="36" t="s">
        <v>248</v>
      </c>
    </row>
    <row r="242" spans="37:37" ht="15" customHeight="1">
      <c r="AK242" s="37" t="s">
        <v>129</v>
      </c>
    </row>
    <row r="243" spans="37:37" ht="15" customHeight="1">
      <c r="AK243" s="40" t="s">
        <v>113</v>
      </c>
    </row>
    <row r="244" spans="37:37" ht="15" customHeight="1">
      <c r="AK244" s="53">
        <v>77</v>
      </c>
    </row>
    <row r="245" spans="37:37" ht="15" customHeight="1">
      <c r="AK245" s="36" t="s">
        <v>249</v>
      </c>
    </row>
    <row r="246" spans="37:37" ht="15" customHeight="1">
      <c r="AK246" s="37" t="s">
        <v>139</v>
      </c>
    </row>
    <row r="247" spans="37:37" ht="15" customHeight="1">
      <c r="AK247" s="40" t="s">
        <v>124</v>
      </c>
    </row>
    <row r="248" spans="37:37" ht="15" customHeight="1">
      <c r="AK248" s="53">
        <v>80</v>
      </c>
    </row>
    <row r="249" spans="37:37" ht="15" customHeight="1">
      <c r="AK249" s="36" t="s">
        <v>250</v>
      </c>
    </row>
    <row r="250" spans="37:37" ht="15" customHeight="1">
      <c r="AK250" s="37" t="s">
        <v>149</v>
      </c>
    </row>
    <row r="251" spans="37:37" ht="15" customHeight="1">
      <c r="AK251" s="40" t="s">
        <v>134</v>
      </c>
    </row>
    <row r="252" spans="37:37" ht="15" customHeight="1">
      <c r="AK252" s="53">
        <v>36</v>
      </c>
    </row>
    <row r="253" spans="37:37" ht="15" customHeight="1">
      <c r="AK253" s="36" t="s">
        <v>251</v>
      </c>
    </row>
    <row r="254" spans="37:37" ht="15" customHeight="1">
      <c r="AK254" s="37" t="s">
        <v>157</v>
      </c>
    </row>
    <row r="255" spans="37:37" ht="15" customHeight="1">
      <c r="AK255" s="40" t="s">
        <v>113</v>
      </c>
    </row>
    <row r="256" spans="37:37" ht="15" customHeight="1">
      <c r="AK256" s="53">
        <v>29</v>
      </c>
    </row>
    <row r="257" spans="37:37" ht="15" customHeight="1">
      <c r="AK257" s="36" t="s">
        <v>252</v>
      </c>
    </row>
    <row r="258" spans="37:37" ht="15" customHeight="1">
      <c r="AK258" s="37" t="s">
        <v>165</v>
      </c>
    </row>
    <row r="259" spans="37:37" ht="15" customHeight="1">
      <c r="AK259" s="40" t="s">
        <v>153</v>
      </c>
    </row>
    <row r="260" spans="37:37" ht="15" customHeight="1">
      <c r="AK260" s="53">
        <v>5</v>
      </c>
    </row>
    <row r="261" spans="37:37" ht="15" customHeight="1">
      <c r="AK261" s="36" t="s">
        <v>253</v>
      </c>
    </row>
    <row r="262" spans="37:37" ht="15" customHeight="1">
      <c r="AK262" s="37" t="s">
        <v>129</v>
      </c>
    </row>
    <row r="263" spans="37:37" ht="15" customHeight="1">
      <c r="AK263" s="40" t="s">
        <v>254</v>
      </c>
    </row>
    <row r="264" spans="37:37" ht="15" customHeight="1">
      <c r="AK264" s="53">
        <v>39</v>
      </c>
    </row>
    <row r="265" spans="37:37" ht="15" customHeight="1">
      <c r="AK265" s="36" t="s">
        <v>255</v>
      </c>
    </row>
    <row r="266" spans="37:37" ht="15" customHeight="1">
      <c r="AK266" s="37" t="s">
        <v>139</v>
      </c>
    </row>
    <row r="267" spans="37:37" ht="15" customHeight="1">
      <c r="AK267" s="40" t="s">
        <v>254</v>
      </c>
    </row>
    <row r="268" spans="37:37" ht="15" customHeight="1">
      <c r="AK268" s="53">
        <v>98</v>
      </c>
    </row>
    <row r="269" spans="37:37" ht="15" customHeight="1">
      <c r="AK269" s="36" t="s">
        <v>256</v>
      </c>
    </row>
    <row r="270" spans="37:37" ht="15" customHeight="1">
      <c r="AK270" s="37" t="s">
        <v>149</v>
      </c>
    </row>
    <row r="271" spans="37:37" ht="15" customHeight="1">
      <c r="AK271" s="40" t="s">
        <v>254</v>
      </c>
    </row>
    <row r="272" spans="37:37" ht="15" customHeight="1">
      <c r="AK272" s="53">
        <v>39</v>
      </c>
    </row>
    <row r="273" spans="37:37" ht="15" customHeight="1">
      <c r="AK273" s="36" t="s">
        <v>257</v>
      </c>
    </row>
    <row r="274" spans="37:37" ht="15" customHeight="1">
      <c r="AK274" s="37" t="s">
        <v>157</v>
      </c>
    </row>
    <row r="275" spans="37:37" ht="15" customHeight="1">
      <c r="AK275" s="40" t="s">
        <v>254</v>
      </c>
    </row>
    <row r="276" spans="37:37" ht="15" customHeight="1">
      <c r="AK276" s="53">
        <v>67</v>
      </c>
    </row>
    <row r="277" spans="37:37" ht="15" customHeight="1">
      <c r="AK277" s="36" t="s">
        <v>168</v>
      </c>
    </row>
    <row r="278" spans="37:37" ht="15" customHeight="1">
      <c r="AK278" s="37" t="s">
        <v>129</v>
      </c>
    </row>
    <row r="279" spans="37:37" ht="15" customHeight="1">
      <c r="AK279" s="40" t="s">
        <v>134</v>
      </c>
    </row>
    <row r="280" spans="37:37" ht="15" customHeight="1">
      <c r="AK280" s="53">
        <v>34</v>
      </c>
    </row>
    <row r="281" spans="37:37" ht="15" customHeight="1">
      <c r="AK281" s="36" t="s">
        <v>258</v>
      </c>
    </row>
    <row r="282" spans="37:37" ht="15" customHeight="1">
      <c r="AK282" s="37" t="s">
        <v>165</v>
      </c>
    </row>
    <row r="283" spans="37:37" ht="15" customHeight="1">
      <c r="AK283" s="40" t="s">
        <v>181</v>
      </c>
    </row>
    <row r="284" spans="37:37" ht="15" customHeight="1">
      <c r="AK284" s="53">
        <v>77</v>
      </c>
    </row>
    <row r="285" spans="37:37" ht="15" customHeight="1">
      <c r="AK285" s="36" t="s">
        <v>259</v>
      </c>
    </row>
    <row r="286" spans="37:37" ht="15" customHeight="1">
      <c r="AK286" s="37" t="s">
        <v>129</v>
      </c>
    </row>
    <row r="287" spans="37:37" ht="15" customHeight="1">
      <c r="AK287" s="40" t="s">
        <v>113</v>
      </c>
    </row>
    <row r="288" spans="37:37" ht="15" customHeight="1">
      <c r="AK288" s="53">
        <v>78</v>
      </c>
    </row>
    <row r="289" spans="37:37" ht="15" customHeight="1">
      <c r="AK289" s="36" t="s">
        <v>174</v>
      </c>
    </row>
    <row r="290" spans="37:37" ht="15" customHeight="1">
      <c r="AK290" s="37" t="s">
        <v>139</v>
      </c>
    </row>
    <row r="291" spans="37:37" ht="15" customHeight="1">
      <c r="AK291" s="40" t="s">
        <v>175</v>
      </c>
    </row>
    <row r="292" spans="37:37" ht="15" customHeight="1">
      <c r="AK292" s="53">
        <v>22</v>
      </c>
    </row>
    <row r="293" spans="37:37" ht="15" customHeight="1">
      <c r="AK293" s="36" t="s">
        <v>178</v>
      </c>
    </row>
    <row r="294" spans="37:37" ht="15" customHeight="1">
      <c r="AK294" s="37" t="s">
        <v>149</v>
      </c>
    </row>
    <row r="295" spans="37:37" ht="15" customHeight="1">
      <c r="AK295" s="40" t="s">
        <v>179</v>
      </c>
    </row>
    <row r="296" spans="37:37" ht="15" customHeight="1">
      <c r="AK296" s="53">
        <v>37</v>
      </c>
    </row>
    <row r="297" spans="37:37" ht="15" customHeight="1">
      <c r="AK297" s="36" t="s">
        <v>123</v>
      </c>
    </row>
    <row r="298" spans="37:37" ht="15" customHeight="1">
      <c r="AK298" s="37" t="s">
        <v>129</v>
      </c>
    </row>
    <row r="299" spans="37:37" ht="15" customHeight="1">
      <c r="AK299" s="40" t="s">
        <v>124</v>
      </c>
    </row>
    <row r="300" spans="37:37" ht="15" customHeight="1">
      <c r="AK300" s="53">
        <v>35</v>
      </c>
    </row>
    <row r="301" spans="37:37" ht="15" customHeight="1">
      <c r="AK301" s="36" t="s">
        <v>261</v>
      </c>
    </row>
  </sheetData>
  <autoFilter ref="AO16:AO87"/>
  <conditionalFormatting sqref="AM17:AM67">
    <cfRule type="top10" dxfId="0" priority="1" rank="5"/>
  </conditionalFormatting>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Q1</vt:lpstr>
      <vt:lpstr>Q2</vt:lpstr>
      <vt:lpstr>Q3</vt:lpstr>
      <vt:lpstr>Q4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2024</dc:creator>
  <cp:lastModifiedBy>sivag</cp:lastModifiedBy>
  <dcterms:created xsi:type="dcterms:W3CDTF">2025-08-30T09:00:50Z</dcterms:created>
  <dcterms:modified xsi:type="dcterms:W3CDTF">2025-11-10T19:18:20Z</dcterms:modified>
</cp:coreProperties>
</file>